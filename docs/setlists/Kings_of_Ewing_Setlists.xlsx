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setlists/"/>
    </mc:Choice>
  </mc:AlternateContent>
  <xr:revisionPtr revIDLastSave="0" documentId="13_ncr:1_{B8180577-B1F6-6749-8837-5B3C68F65A99}" xr6:coauthVersionLast="47" xr6:coauthVersionMax="47" xr10:uidLastSave="{00000000-0000-0000-0000-000000000000}"/>
  <bookViews>
    <workbookView xWindow="4340" yWindow="3300" windowWidth="29580" windowHeight="17160" activeTab="2" xr2:uid="{00000000-000D-0000-FFFF-FFFF00000000}"/>
  </bookViews>
  <sheets>
    <sheet name="Song Tracker" sheetId="1" r:id="rId1"/>
    <sheet name="Potential Songs" sheetId="2" r:id="rId2"/>
    <sheet name="2026-09-12 Block Party" sheetId="22" r:id="rId3"/>
    <sheet name="2026-06-24 Ridgeville Parks" sheetId="3" r:id="rId4"/>
    <sheet name="2026-06-21 Chicago Union Rain C" sheetId="4" r:id="rId5"/>
    <sheet name="2026-05-16 Fat Shallot" sheetId="5" r:id="rId6"/>
    <sheet name="2026-05-14 Fat Shallot" sheetId="6" r:id="rId7"/>
    <sheet name="2026-05-02 Lincolnwood" sheetId="7" r:id="rId8"/>
    <sheet name="2026-04-22 Spring Cha Ching" sheetId="8" r:id="rId9"/>
    <sheet name="2026-01-24 Goat Village" sheetId="9" r:id="rId10"/>
    <sheet name="2025-11-16 Double Clutch" sheetId="10" r:id="rId11"/>
    <sheet name="2025-09-06 Block Party" sheetId="11" r:id="rId12"/>
    <sheet name="2025-06-25 American Legion" sheetId="12" r:id="rId13"/>
    <sheet name="2025-06-07 Fat Shallot" sheetId="13" r:id="rId14"/>
    <sheet name="2025-05-03 Lincolnwood" sheetId="14" r:id="rId15"/>
    <sheet name="2024-10-09 Fat Shallot" sheetId="15" r:id="rId16"/>
    <sheet name="2024-09-07 Block Party" sheetId="16" r:id="rId17"/>
    <sheet name="2024-08-10 Fat Shallot" sheetId="17" r:id="rId18"/>
    <sheet name="2024-07-13 Chicago Union" sheetId="18" r:id="rId19"/>
    <sheet name="2024-06-08 Fat Shallot" sheetId="19" r:id="rId20"/>
    <sheet name="2024-04-27 Lincolnwood" sheetId="20" r:id="rId21"/>
    <sheet name="2023-09-09 Block Party" sheetId="21" r:id="rId22"/>
  </sheets>
  <definedNames>
    <definedName name="_xlnm.Print_Area" localSheetId="6">'2026-05-14 Fat Shallot'!$A$2:$F$21</definedName>
    <definedName name="_xlnm.Print_Area" localSheetId="5">'2026-05-16 Fat Shallot'!$A$1:$F$29</definedName>
    <definedName name="_xlnm.Print_Area" localSheetId="4">'2026-06-21 Chicago Union Rain C'!$A$1:$F$19</definedName>
    <definedName name="_xlnm.Print_Area" localSheetId="3">'2026-06-24 Ridgeville Parks'!$A$1:$F$31</definedName>
    <definedName name="_xlnm.Print_Area" localSheetId="2">'2026-09-12 Block Party'!$A$1:$F$23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2" l="1"/>
  <c r="F10" i="21"/>
  <c r="F7" i="21"/>
  <c r="F6" i="21"/>
  <c r="F15" i="21" s="1"/>
  <c r="F9" i="20"/>
  <c r="F8" i="20"/>
  <c r="F16" i="20" s="1"/>
  <c r="F12" i="19"/>
  <c r="F21" i="19" s="1"/>
  <c r="F12" i="18"/>
  <c r="F16" i="18" s="1"/>
  <c r="F18" i="17"/>
  <c r="F16" i="17"/>
  <c r="F15" i="17"/>
  <c r="F12" i="17"/>
  <c r="F26" i="17" s="1"/>
  <c r="F11" i="17"/>
  <c r="F29" i="16"/>
  <c r="F23" i="16"/>
  <c r="F20" i="16"/>
  <c r="F19" i="16"/>
  <c r="F18" i="16"/>
  <c r="F17" i="16"/>
  <c r="F13" i="16"/>
  <c r="F12" i="16"/>
  <c r="F11" i="16"/>
  <c r="F31" i="16" s="1"/>
  <c r="F12" i="15"/>
  <c r="F8" i="15"/>
  <c r="F16" i="15" s="1"/>
  <c r="F11" i="14"/>
  <c r="F4" i="14"/>
  <c r="F19" i="14" s="1"/>
  <c r="F16" i="13"/>
  <c r="F10" i="13"/>
  <c r="F25" i="13" s="1"/>
  <c r="F7" i="13"/>
  <c r="F28" i="12"/>
  <c r="F26" i="12"/>
  <c r="F20" i="12"/>
  <c r="F13" i="12"/>
  <c r="F11" i="12"/>
  <c r="F7" i="12"/>
  <c r="F33" i="12" s="1"/>
  <c r="F15" i="11"/>
  <c r="F19" i="11" s="1"/>
  <c r="F13" i="11"/>
  <c r="F8" i="11"/>
  <c r="F13" i="10"/>
  <c r="F8" i="10"/>
  <c r="F18" i="10" s="1"/>
  <c r="F36" i="9"/>
  <c r="F34" i="9"/>
  <c r="F31" i="9"/>
  <c r="F15" i="8"/>
  <c r="F22" i="7"/>
  <c r="F4" i="7"/>
  <c r="F11" i="6"/>
  <c r="F21" i="6" s="1"/>
  <c r="F30" i="5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19" i="4" s="1"/>
  <c r="F4" i="4"/>
  <c r="F31" i="3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<sst xmlns="http://schemas.openxmlformats.org/spreadsheetml/2006/main" count="2309" uniqueCount="193">
  <si>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</si>
  <si>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</si>
  <si>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</si>
  <si>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</si>
  <si>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</si>
  <si>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</si>
  <si>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</si>
  <si>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</si>
  <si>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</si>
  <si>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</si>
  <si>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</si>
  <si>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</si>
  <si>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Total Times Played</t>
  </si>
  <si>
    <t>2023-09-09
Block Party</t>
  </si>
  <si>
    <t>2024-04-27
Lincolnwood</t>
  </si>
  <si>
    <t>2024-06-08
Fat Shallot</t>
  </si>
  <si>
    <t>2024-07-13
Chicago Union</t>
  </si>
  <si>
    <t>2024-08-10
Fat Shallot</t>
  </si>
  <si>
    <t>2024-09-07
Block Party</t>
  </si>
  <si>
    <t>2024-10-09
Fat Shallot</t>
  </si>
  <si>
    <t>2025-05-03
Lincolnwood</t>
  </si>
  <si>
    <t>2025-06-07
Fat Shallot</t>
  </si>
  <si>
    <t>2025-06-25
American Legion</t>
  </si>
  <si>
    <t>2025-09-06
Block Party</t>
  </si>
  <si>
    <t>2025-11-16
Double Clutch</t>
  </si>
  <si>
    <t>2026-01-24
Goat Village</t>
  </si>
  <si>
    <t>2026-04-22
Spring Cha Ching</t>
  </si>
  <si>
    <t>2026-05-02
Lincolnwood</t>
  </si>
  <si>
    <t>2026-05-14
Fat Shallot</t>
  </si>
  <si>
    <t>2026-05-16
Fat Shallot</t>
  </si>
  <si>
    <t>2026-06-21
Chicago Union Rain C</t>
  </si>
  <si>
    <t>2026-06-24
Ridgeville Parks</t>
  </si>
  <si>
    <t>All These Things That I've Done</t>
  </si>
  <si>
    <t>The Killers</t>
  </si>
  <si>
    <t>M</t>
  </si>
  <si>
    <t>Matt</t>
  </si>
  <si>
    <t>00s</t>
  </si>
  <si>
    <t>✓</t>
  </si>
  <si>
    <t>Angel From Montgomery</t>
  </si>
  <si>
    <t>John Prine</t>
  </si>
  <si>
    <t>Miles</t>
  </si>
  <si>
    <t>70s</t>
  </si>
  <si>
    <t>Black</t>
  </si>
  <si>
    <t>Pearl Jam</t>
  </si>
  <si>
    <t>Drew</t>
  </si>
  <si>
    <t>90s</t>
  </si>
  <si>
    <t>Bohemian Like You</t>
  </si>
  <si>
    <t>Dandy Warhols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</si>
  <si>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</si>
  <si>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</si>
  <si>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</si>
  <si>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</si>
  <si>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</si>
  <si>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</si>
  <si>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</si>
  <si>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</si>
  <si>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</si>
  <si>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</si>
  <si>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</si>
  <si>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</si>
  <si>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</si>
  <si>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</si>
  <si>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</si>
  <si>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</si>
  <si>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</si>
  <si>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</si>
  <si>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</si>
  <si>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</si>
  <si>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</si>
  <si>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</si>
  <si>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</si>
  <si>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</si>
  <si>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</si>
  <si>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</si>
  <si>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</si>
  <si>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</si>
  <si>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</si>
  <si>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</si>
  <si>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</si>
  <si>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</si>
  <si>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</si>
  <si>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</si>
  <si>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</si>
  <si>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</si>
  <si>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</si>
  <si>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</si>
  <si>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</si>
  <si>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</si>
  <si>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</si>
  <si>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</si>
  <si>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https://tabs.ultimate-guitar.com/tab/james/laid-official-2685951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</si>
  <si>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</si>
  <si>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</si>
  <si>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</si>
  <si>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</si>
  <si>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</si>
  <si>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</si>
  <si>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</si>
  <si>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</si>
  <si>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</si>
  <si>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</si>
  <si>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</si>
  <si>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</si>
  <si>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</si>
  <si>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</si>
  <si>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</si>
  <si>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</si>
  <si>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</si>
  <si>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</si>
  <si>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</si>
  <si>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</si>
  <si>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</si>
  <si>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</si>
  <si>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</si>
  <si>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</si>
  <si>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</si>
  <si>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</si>
  <si>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</si>
  <si>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</si>
  <si>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</si>
  <si>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</si>
  <si>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</si>
  <si>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</si>
  <si>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</si>
  <si>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</si>
  <si>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</si>
  <si>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</si>
  <si>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</si>
  <si>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</si>
  <si>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</si>
  <si>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</si>
  <si>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</si>
  <si>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</si>
  <si>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https://www.kingsofewing.com/docs/music/won%27t%20back%20down.pdf</t>
  </si>
  <si>
    <t>https://tabs.ultimate-guitar.com/tab/tom-petty/i-wont-back-down-official-2175865</t>
  </si>
  <si>
    <t>The Isley Brothers</t>
  </si>
  <si>
    <t>Instrumental</t>
  </si>
  <si>
    <t>Won't Back Down</t>
  </si>
  <si>
    <t>Tom Petty and the Heartbreakers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</si>
  <si>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</si>
  <si>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</si>
  <si>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</si>
  <si>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</si>
  <si>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</si>
  <si>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</si>
  <si>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</si>
  <si>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</si>
  <si>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</si>
  <si>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</si>
  <si>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</si>
  <si>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</si>
  <si>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Drea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</si>
  <si>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</si>
  <si>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</si>
  <si>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</si>
  <si>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</si>
  <si>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</si>
  <si>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</si>
  <si>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</si>
  <si>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</si>
  <si>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</si>
  <si>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</si>
  <si>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</si>
  <si>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</si>
  <si>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Honest Mistake</t>
  </si>
  <si>
    <t>The Bravery</t>
  </si>
  <si>
    <t>2026-06-24 | Ridgeville Parks District | 6:00 PM</t>
  </si>
  <si>
    <t>#</t>
  </si>
  <si>
    <t>Vocals</t>
  </si>
  <si>
    <t>BREAK</t>
  </si>
  <si>
    <t>Total Set Length</t>
  </si>
  <si>
    <t>2026-06-21 | Chicago Union | 5:00 PM</t>
  </si>
  <si>
    <t>2026-05-16 — Fat Shallot — 7:00-9:00 PM</t>
  </si>
  <si>
    <t>2026-05-14 | Fat Shallot | 5:30 PM</t>
  </si>
  <si>
    <t>2026-05-02 | Lincolnwood PTA Spring Fling</t>
  </si>
  <si>
    <t>opener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</si>
  <si>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</si>
  <si>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</si>
  <si>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</si>
  <si>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</si>
  <si>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</si>
  <si>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</si>
  <si>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*encore</t>
  </si>
  <si>
    <t>2025-05-03 | Lincolnwood PTA Spring Fling</t>
  </si>
  <si>
    <t>encore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</si>
  <si>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</si>
  <si>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</si>
  <si>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</si>
  <si>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</si>
  <si>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</si>
  <si>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</si>
  <si>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</si>
  <si>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2026-09-12 | Block 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</si>
</sst>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m]:ss"/>
    <numFmt numFmtId="165" formatCode="[hh]:mm:ss"/>
  </numFmts>
  <fonts count="25" x14ac:knownFonts="1">
    <font>
      <sz val="11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  <font>
      <b/>
      <strike/>
      <sz val="12"/>
      <color rgb="FF000000"/>
      <name val="Courier New"/>
      <family val="1"/>
    </font>
    <font>
      <strike/>
      <u/>
      <sz val="13"/>
      <color rgb="FF0563C1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0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</borders>
  <cellStyleXfs count="2">
    <xf numFmtId="0" fontId="0" fillId="0" borderId="0"/>
    <xf numFmtId="0" fontId="6" fillId="0" borderId="0"/>
  </cellStyleXfs>
  <cellXfs count="167">
    <xf numFmtId="0" fontId="0" fillId="0" borderId="0" xfId="0"/>
    <xf numFmtId="0" fontId="0" fillId="0" borderId="0" xfId="0" applyAlignment="1">
      <alignment horizontal="left"/>
    </xf>
    <xf numFmtId="0" fontId="5" fillId="0" borderId="0" xfId="0" applyFont="1"/>
    <xf numFmtId="0" fontId="11" fillId="0" borderId="3" xfId="0" applyFont="1" applyBorder="1"/>
    <xf numFmtId="0" fontId="0" fillId="2" borderId="0" xfId="0" applyFill="1"/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5" fillId="2" borderId="0" xfId="0" applyFont="1" applyFill="1"/>
    <xf numFmtId="0" fontId="0" fillId="0" borderId="0" xfId="0" applyAlignment="1">
      <alignment horizontal="center"/>
    </xf>
    <xf numFmtId="0" fontId="14" fillId="0" borderId="5" xfId="0" applyFont="1" applyBorder="1"/>
    <xf numFmtId="0" fontId="2" fillId="0" borderId="5" xfId="0" applyFont="1" applyBorder="1" applyAlignment="1">
      <alignment horizontal="left" vertical="center"/>
    </xf>
    <xf numFmtId="0" fontId="14" fillId="0" borderId="6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7" fillId="0" borderId="8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46" fontId="17" fillId="0" borderId="10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3" fillId="2" borderId="3" xfId="0" applyFont="1" applyFill="1" applyBorder="1" applyAlignment="1">
      <alignment horizontal="left" vertical="center"/>
    </xf>
    <xf numFmtId="0" fontId="11" fillId="2" borderId="3" xfId="0" applyFont="1" applyFill="1" applyBorder="1"/>
    <xf numFmtId="0" fontId="12" fillId="2" borderId="3" xfId="0" applyFont="1" applyFill="1" applyBorder="1"/>
    <xf numFmtId="164" fontId="2" fillId="0" borderId="9" xfId="0" applyNumberFormat="1" applyFont="1" applyBorder="1" applyAlignment="1">
      <alignment horizontal="center" vertical="center"/>
    </xf>
    <xf numFmtId="164" fontId="14" fillId="0" borderId="9" xfId="0" applyNumberFormat="1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/>
    </xf>
    <xf numFmtId="164" fontId="14" fillId="0" borderId="12" xfId="0" applyNumberFormat="1" applyFont="1" applyBorder="1" applyAlignment="1">
      <alignment horizont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left" vertical="center"/>
    </xf>
    <xf numFmtId="0" fontId="17" fillId="0" borderId="14" xfId="0" applyFont="1" applyBorder="1" applyAlignment="1">
      <alignment horizontal="center" vertical="center"/>
    </xf>
    <xf numFmtId="46" fontId="17" fillId="0" borderId="15" xfId="0" applyNumberFormat="1" applyFont="1" applyBorder="1" applyAlignment="1">
      <alignment horizontal="center" vertical="center"/>
    </xf>
    <xf numFmtId="164" fontId="2" fillId="2" borderId="18" xfId="0" applyNumberFormat="1" applyFont="1" applyFill="1" applyBorder="1" applyAlignment="1">
      <alignment horizontal="left" vertical="center"/>
    </xf>
    <xf numFmtId="0" fontId="16" fillId="2" borderId="20" xfId="0" applyFont="1" applyFill="1" applyBorder="1" applyAlignment="1">
      <alignment horizontal="center" vertical="center"/>
    </xf>
    <xf numFmtId="0" fontId="16" fillId="2" borderId="19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/>
    </xf>
    <xf numFmtId="0" fontId="2" fillId="2" borderId="22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8" fillId="2" borderId="23" xfId="0" applyFont="1" applyFill="1" applyBorder="1" applyAlignment="1">
      <alignment horizontal="left" vertical="center"/>
    </xf>
    <xf numFmtId="164" fontId="2" fillId="2" borderId="24" xfId="0" applyNumberFormat="1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left" vertical="center"/>
    </xf>
    <xf numFmtId="0" fontId="8" fillId="2" borderId="25" xfId="0" applyFont="1" applyFill="1" applyBorder="1" applyAlignment="1">
      <alignment horizontal="left" vertical="center"/>
    </xf>
    <xf numFmtId="0" fontId="8" fillId="2" borderId="26" xfId="0" applyFont="1" applyFill="1" applyBorder="1" applyAlignment="1">
      <alignment horizontal="left" vertical="center"/>
    </xf>
    <xf numFmtId="0" fontId="13" fillId="2" borderId="25" xfId="1" applyFont="1" applyFill="1" applyBorder="1" applyAlignment="1">
      <alignment horizontal="left" vertical="center"/>
    </xf>
    <xf numFmtId="0" fontId="10" fillId="0" borderId="27" xfId="1" applyFont="1" applyBorder="1" applyAlignment="1">
      <alignment horizontal="left" vertical="center"/>
    </xf>
    <xf numFmtId="0" fontId="8" fillId="2" borderId="19" xfId="0" applyFont="1" applyFill="1" applyBorder="1" applyAlignment="1">
      <alignment horizontal="left" vertical="center"/>
    </xf>
    <xf numFmtId="0" fontId="8" fillId="2" borderId="28" xfId="0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 vertical="center"/>
    </xf>
    <xf numFmtId="164" fontId="18" fillId="2" borderId="18" xfId="0" applyNumberFormat="1" applyFont="1" applyFill="1" applyBorder="1" applyAlignment="1">
      <alignment horizontal="left" vertical="center"/>
    </xf>
    <xf numFmtId="0" fontId="17" fillId="2" borderId="33" xfId="0" applyFont="1" applyFill="1" applyBorder="1" applyAlignment="1">
      <alignment horizontal="left" vertical="center"/>
    </xf>
    <xf numFmtId="0" fontId="17" fillId="2" borderId="34" xfId="0" applyFont="1" applyFill="1" applyBorder="1" applyAlignment="1">
      <alignment horizontal="left" vertical="center"/>
    </xf>
    <xf numFmtId="46" fontId="17" fillId="2" borderId="35" xfId="0" applyNumberFormat="1" applyFont="1" applyFill="1" applyBorder="1" applyAlignment="1">
      <alignment horizontal="left" vertical="center"/>
    </xf>
    <xf numFmtId="0" fontId="2" fillId="4" borderId="30" xfId="0" applyFont="1" applyFill="1" applyBorder="1" applyAlignment="1">
      <alignment horizontal="left" vertical="center" wrapText="1"/>
    </xf>
    <xf numFmtId="0" fontId="8" fillId="4" borderId="31" xfId="0" applyFont="1" applyFill="1" applyBorder="1" applyAlignment="1">
      <alignment horizontal="left" vertical="center"/>
    </xf>
    <xf numFmtId="0" fontId="8" fillId="4" borderId="26" xfId="0" applyFont="1" applyFill="1" applyBorder="1" applyAlignment="1">
      <alignment horizontal="left" vertical="center"/>
    </xf>
    <xf numFmtId="164" fontId="2" fillId="4" borderId="32" xfId="0" applyNumberFormat="1" applyFont="1" applyFill="1" applyBorder="1" applyAlignment="1">
      <alignment horizontal="left" vertical="center" wrapText="1"/>
    </xf>
    <xf numFmtId="0" fontId="5" fillId="0" borderId="33" xfId="0" applyFont="1" applyBorder="1"/>
    <xf numFmtId="0" fontId="5" fillId="2" borderId="38" xfId="0" applyFont="1" applyFill="1" applyBorder="1" applyAlignment="1">
      <alignment horizontal="left"/>
    </xf>
    <xf numFmtId="0" fontId="5" fillId="2" borderId="39" xfId="0" applyFont="1" applyFill="1" applyBorder="1" applyAlignment="1">
      <alignment horizontal="left"/>
    </xf>
    <xf numFmtId="0" fontId="5" fillId="2" borderId="42" xfId="0" applyFont="1" applyFill="1" applyBorder="1" applyAlignment="1">
      <alignment horizontal="left"/>
    </xf>
    <xf numFmtId="0" fontId="5" fillId="2" borderId="45" xfId="0" applyFont="1" applyFill="1" applyBorder="1" applyAlignment="1">
      <alignment horizontal="left"/>
    </xf>
    <xf numFmtId="164" fontId="5" fillId="2" borderId="46" xfId="0" applyNumberFormat="1" applyFont="1" applyFill="1" applyBorder="1" applyAlignment="1">
      <alignment horizontal="left"/>
    </xf>
    <xf numFmtId="0" fontId="5" fillId="5" borderId="47" xfId="0" applyFont="1" applyFill="1" applyBorder="1" applyAlignment="1">
      <alignment horizontal="left"/>
    </xf>
    <xf numFmtId="164" fontId="5" fillId="2" borderId="48" xfId="0" applyNumberFormat="1" applyFont="1" applyFill="1" applyBorder="1" applyAlignment="1">
      <alignment horizontal="left"/>
    </xf>
    <xf numFmtId="0" fontId="5" fillId="2" borderId="47" xfId="0" applyFont="1" applyFill="1" applyBorder="1" applyAlignment="1">
      <alignment horizontal="left"/>
    </xf>
    <xf numFmtId="0" fontId="5" fillId="2" borderId="49" xfId="0" applyFont="1" applyFill="1" applyBorder="1" applyAlignment="1">
      <alignment horizontal="left"/>
    </xf>
    <xf numFmtId="164" fontId="5" fillId="2" borderId="32" xfId="0" applyNumberFormat="1" applyFont="1" applyFill="1" applyBorder="1" applyAlignment="1">
      <alignment horizontal="left"/>
    </xf>
    <xf numFmtId="0" fontId="17" fillId="2" borderId="43" xfId="0" applyFont="1" applyFill="1" applyBorder="1" applyAlignment="1">
      <alignment horizontal="center" vertical="center"/>
    </xf>
    <xf numFmtId="0" fontId="17" fillId="2" borderId="4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164" fontId="19" fillId="0" borderId="37" xfId="0" applyNumberFormat="1" applyFont="1" applyBorder="1" applyAlignment="1">
      <alignment horizontal="left"/>
    </xf>
    <xf numFmtId="0" fontId="5" fillId="2" borderId="42" xfId="1" applyFont="1" applyFill="1" applyBorder="1"/>
    <xf numFmtId="0" fontId="5" fillId="5" borderId="38" xfId="0" applyFont="1" applyFill="1" applyBorder="1" applyAlignment="1">
      <alignment horizontal="left"/>
    </xf>
    <xf numFmtId="0" fontId="5" fillId="5" borderId="38" xfId="1" applyFont="1" applyFill="1" applyBorder="1"/>
    <xf numFmtId="164" fontId="5" fillId="5" borderId="48" xfId="0" applyNumberFormat="1" applyFont="1" applyFill="1" applyBorder="1" applyAlignment="1">
      <alignment horizontal="left"/>
    </xf>
    <xf numFmtId="0" fontId="5" fillId="2" borderId="38" xfId="1" applyFont="1" applyFill="1" applyBorder="1"/>
    <xf numFmtId="0" fontId="5" fillId="2" borderId="39" xfId="1" applyFont="1" applyFill="1" applyBorder="1"/>
    <xf numFmtId="0" fontId="16" fillId="0" borderId="50" xfId="0" applyFont="1" applyBorder="1" applyAlignment="1">
      <alignment horizontal="center" vertical="center"/>
    </xf>
    <xf numFmtId="0" fontId="16" fillId="0" borderId="51" xfId="0" applyFont="1" applyBorder="1" applyAlignment="1">
      <alignment horizontal="left" vertical="center"/>
    </xf>
    <xf numFmtId="0" fontId="16" fillId="0" borderId="51" xfId="0" applyFont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0" fontId="5" fillId="2" borderId="22" xfId="0" applyFont="1" applyFill="1" applyBorder="1" applyAlignment="1">
      <alignment horizontal="left" vertical="center"/>
    </xf>
    <xf numFmtId="0" fontId="21" fillId="2" borderId="22" xfId="0" applyFont="1" applyFill="1" applyBorder="1" applyAlignment="1">
      <alignment horizontal="left" vertical="center"/>
    </xf>
    <xf numFmtId="0" fontId="21" fillId="2" borderId="23" xfId="0" applyFont="1" applyFill="1" applyBorder="1" applyAlignment="1">
      <alignment horizontal="left" vertical="center"/>
    </xf>
    <xf numFmtId="164" fontId="5" fillId="2" borderId="24" xfId="0" applyNumberFormat="1" applyFont="1" applyFill="1" applyBorder="1" applyAlignment="1">
      <alignment horizontal="left" vertical="center"/>
    </xf>
    <xf numFmtId="0" fontId="5" fillId="2" borderId="20" xfId="0" applyFont="1" applyFill="1" applyBorder="1" applyAlignment="1">
      <alignment horizontal="left" vertical="center"/>
    </xf>
    <xf numFmtId="0" fontId="5" fillId="2" borderId="19" xfId="0" applyFont="1" applyFill="1" applyBorder="1" applyAlignment="1">
      <alignment horizontal="left" vertical="center"/>
    </xf>
    <xf numFmtId="0" fontId="21" fillId="2" borderId="25" xfId="0" applyFont="1" applyFill="1" applyBorder="1" applyAlignment="1">
      <alignment horizontal="left" vertical="center"/>
    </xf>
    <xf numFmtId="0" fontId="21" fillId="2" borderId="26" xfId="0" applyFont="1" applyFill="1" applyBorder="1" applyAlignment="1">
      <alignment horizontal="left" vertical="center"/>
    </xf>
    <xf numFmtId="164" fontId="5" fillId="2" borderId="18" xfId="0" applyNumberFormat="1" applyFont="1" applyFill="1" applyBorder="1" applyAlignment="1">
      <alignment horizontal="left" vertical="center"/>
    </xf>
    <xf numFmtId="0" fontId="21" fillId="2" borderId="25" xfId="1" applyFont="1" applyFill="1" applyBorder="1" applyAlignment="1">
      <alignment horizontal="left" vertical="center"/>
    </xf>
    <xf numFmtId="0" fontId="21" fillId="0" borderId="27" xfId="1" applyFont="1" applyBorder="1" applyAlignment="1">
      <alignment horizontal="left" vertical="center"/>
    </xf>
    <xf numFmtId="0" fontId="21" fillId="2" borderId="19" xfId="0" applyFont="1" applyFill="1" applyBorder="1" applyAlignment="1">
      <alignment horizontal="left" vertical="center"/>
    </xf>
    <xf numFmtId="0" fontId="21" fillId="2" borderId="28" xfId="0" applyFont="1" applyFill="1" applyBorder="1" applyAlignment="1">
      <alignment horizontal="left" vertical="center"/>
    </xf>
    <xf numFmtId="0" fontId="5" fillId="2" borderId="29" xfId="0" applyFont="1" applyFill="1" applyBorder="1" applyAlignment="1">
      <alignment horizontal="left" vertical="center" wrapText="1"/>
    </xf>
    <xf numFmtId="0" fontId="5" fillId="2" borderId="29" xfId="0" applyFont="1" applyFill="1" applyBorder="1" applyAlignment="1">
      <alignment horizontal="left" vertical="center"/>
    </xf>
    <xf numFmtId="164" fontId="22" fillId="2" borderId="18" xfId="0" applyNumberFormat="1" applyFont="1" applyFill="1" applyBorder="1" applyAlignment="1">
      <alignment horizontal="left" vertical="center"/>
    </xf>
    <xf numFmtId="0" fontId="5" fillId="0" borderId="30" xfId="0" applyFont="1" applyBorder="1" applyAlignment="1">
      <alignment horizontal="left" vertical="center" wrapText="1"/>
    </xf>
    <xf numFmtId="0" fontId="21" fillId="0" borderId="31" xfId="0" applyFont="1" applyBorder="1" applyAlignment="1">
      <alignment horizontal="left" vertical="center"/>
    </xf>
    <xf numFmtId="0" fontId="21" fillId="0" borderId="26" xfId="0" applyFont="1" applyBorder="1" applyAlignment="1">
      <alignment horizontal="left" vertical="center"/>
    </xf>
    <xf numFmtId="164" fontId="5" fillId="0" borderId="32" xfId="0" applyNumberFormat="1" applyFont="1" applyBorder="1" applyAlignment="1">
      <alignment horizontal="left" vertical="center" wrapText="1"/>
    </xf>
    <xf numFmtId="0" fontId="2" fillId="2" borderId="38" xfId="0" applyFont="1" applyFill="1" applyBorder="1" applyAlignment="1">
      <alignment horizontal="left" vertical="center"/>
    </xf>
    <xf numFmtId="0" fontId="10" fillId="2" borderId="38" xfId="1" applyFont="1" applyFill="1" applyBorder="1" applyAlignment="1">
      <alignment horizontal="center" vertical="center"/>
    </xf>
    <xf numFmtId="164" fontId="2" fillId="2" borderId="38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0" fillId="2" borderId="38" xfId="0" applyFill="1" applyBorder="1"/>
    <xf numFmtId="0" fontId="0" fillId="0" borderId="38" xfId="0" applyBorder="1"/>
    <xf numFmtId="0" fontId="2" fillId="5" borderId="38" xfId="0" applyFont="1" applyFill="1" applyBorder="1" applyAlignment="1">
      <alignment horizontal="left" vertical="center"/>
    </xf>
    <xf numFmtId="0" fontId="8" fillId="5" borderId="38" xfId="0" applyFont="1" applyFill="1" applyBorder="1" applyAlignment="1">
      <alignment horizontal="center" vertical="center"/>
    </xf>
    <xf numFmtId="164" fontId="2" fillId="5" borderId="38" xfId="0" applyNumberFormat="1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0" fillId="5" borderId="38" xfId="0" applyFill="1" applyBorder="1"/>
    <xf numFmtId="0" fontId="13" fillId="2" borderId="38" xfId="1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10" fillId="5" borderId="38" xfId="1" applyFont="1" applyFill="1" applyBorder="1" applyAlignment="1">
      <alignment horizontal="center" vertical="center"/>
    </xf>
    <xf numFmtId="0" fontId="7" fillId="5" borderId="38" xfId="0" applyFont="1" applyFill="1" applyBorder="1" applyAlignment="1">
      <alignment horizontal="center" vertical="center"/>
    </xf>
    <xf numFmtId="0" fontId="7" fillId="2" borderId="3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left" vertical="center"/>
    </xf>
    <xf numFmtId="0" fontId="10" fillId="2" borderId="42" xfId="1" applyFont="1" applyFill="1" applyBorder="1" applyAlignment="1">
      <alignment horizontal="center" vertical="center"/>
    </xf>
    <xf numFmtId="164" fontId="2" fillId="2" borderId="42" xfId="0" applyNumberFormat="1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0" fillId="2" borderId="42" xfId="0" applyFill="1" applyBorder="1"/>
    <xf numFmtId="0" fontId="0" fillId="0" borderId="42" xfId="0" applyBorder="1"/>
    <xf numFmtId="0" fontId="3" fillId="2" borderId="33" xfId="0" applyFont="1" applyFill="1" applyBorder="1" applyAlignment="1">
      <alignment horizontal="left" vertical="center"/>
    </xf>
    <xf numFmtId="0" fontId="0" fillId="2" borderId="36" xfId="0" applyFill="1" applyBorder="1"/>
    <xf numFmtId="0" fontId="0" fillId="2" borderId="36" xfId="0" applyFill="1" applyBorder="1" applyAlignment="1">
      <alignment horizontal="left"/>
    </xf>
    <xf numFmtId="0" fontId="0" fillId="0" borderId="36" xfId="0" applyBorder="1"/>
    <xf numFmtId="0" fontId="1" fillId="2" borderId="60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0" fontId="9" fillId="2" borderId="61" xfId="1" applyFont="1" applyFill="1" applyBorder="1" applyAlignment="1">
      <alignment horizontal="center" vertical="center" wrapText="1"/>
    </xf>
    <xf numFmtId="0" fontId="9" fillId="2" borderId="61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wrapText="1"/>
    </xf>
    <xf numFmtId="0" fontId="24" fillId="0" borderId="0" xfId="1" applyFont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165" fontId="0" fillId="0" borderId="0" xfId="0" applyNumberFormat="1"/>
    <xf numFmtId="0" fontId="20" fillId="2" borderId="62" xfId="0" applyFont="1" applyFill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17" fillId="2" borderId="62" xfId="0" applyFont="1" applyFill="1" applyBorder="1" applyAlignment="1">
      <alignment horizontal="center" vertical="center"/>
    </xf>
    <xf numFmtId="0" fontId="19" fillId="3" borderId="63" xfId="0" applyFont="1" applyFill="1" applyBorder="1" applyAlignment="1">
      <alignment horizontal="center" vertical="center"/>
    </xf>
    <xf numFmtId="0" fontId="0" fillId="0" borderId="4" xfId="0" applyBorder="1"/>
    <xf numFmtId="0" fontId="0" fillId="0" borderId="17" xfId="0" applyBorder="1"/>
    <xf numFmtId="0" fontId="23" fillId="2" borderId="64" xfId="0" applyFont="1" applyFill="1" applyBorder="1" applyAlignment="1">
      <alignment horizontal="center" vertical="center"/>
    </xf>
    <xf numFmtId="0" fontId="0" fillId="0" borderId="40" xfId="0" applyBorder="1"/>
    <xf numFmtId="0" fontId="0" fillId="0" borderId="41" xfId="0" applyBorder="1"/>
    <xf numFmtId="0" fontId="20" fillId="0" borderId="65" xfId="0" applyFont="1" applyBorder="1" applyAlignment="1">
      <alignment horizontal="center"/>
    </xf>
    <xf numFmtId="0" fontId="0" fillId="0" borderId="36" xfId="0" applyBorder="1"/>
    <xf numFmtId="0" fontId="0" fillId="0" borderId="37" xfId="0" applyBorder="1"/>
    <xf numFmtId="0" fontId="19" fillId="0" borderId="36" xfId="0" applyFont="1" applyBorder="1" applyAlignment="1">
      <alignment horizontal="center"/>
    </xf>
    <xf numFmtId="0" fontId="15" fillId="2" borderId="16" xfId="0" applyFont="1" applyFill="1" applyBorder="1" applyAlignment="1">
      <alignment horizontal="center" vertical="center"/>
    </xf>
    <xf numFmtId="0" fontId="0" fillId="0" borderId="66" xfId="0" applyBorder="1"/>
    <xf numFmtId="0" fontId="17" fillId="3" borderId="63" xfId="0" applyFont="1" applyFill="1" applyBorder="1" applyAlignment="1">
      <alignment horizontal="center" vertical="center"/>
    </xf>
    <xf numFmtId="0" fontId="17" fillId="2" borderId="67" xfId="0" applyFont="1" applyFill="1" applyBorder="1" applyAlignment="1">
      <alignment horizontal="center" vertical="center"/>
    </xf>
    <xf numFmtId="0" fontId="0" fillId="0" borderId="68" xfId="0" applyBorder="1"/>
    <xf numFmtId="0" fontId="0" fillId="0" borderId="59" xfId="0" applyBorder="1"/>
    <xf numFmtId="0" fontId="20" fillId="2" borderId="69" xfId="0" applyFont="1" applyFill="1" applyBorder="1" applyAlignment="1">
      <alignment horizontal="center" vertical="center"/>
    </xf>
    <xf numFmtId="0" fontId="0" fillId="0" borderId="57" xfId="0" applyBorder="1"/>
    <xf numFmtId="0" fontId="0" fillId="0" borderId="58" xfId="0" applyBorder="1"/>
  </cellXfs>
  <cellStyles count="2">
    <cellStyle name="Hyperlink" xfId="1" builtinId="8"/>
    <cellStyle name="Normal" xfId="0" builtinId="0"/>
  </cellStyles>
  <dxfs count="6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creedence-clearwater-revival/fortunate-son-official-1945887" TargetMode="External"/><Relationship Id="rId21" Type="http://schemas.openxmlformats.org/officeDocument/2006/relationships/hyperlink" Target="https://www.kingsofewing.com/docs/music/follow_your_arrow_official.pdf" TargetMode="External"/><Relationship Id="rId42" Type="http://schemas.openxmlformats.org/officeDocument/2006/relationships/hyperlink" Target="https://tabs.ultimate-guitar.com/tab/the-cars/just-what-i-needed-official-2212159" TargetMode="External"/><Relationship Id="rId47" Type="http://schemas.openxmlformats.org/officeDocument/2006/relationships/hyperlink" Target="https://tabs.ultimate-guitar.com/tab/wings/let-me-roll-it-official-3333080" TargetMode="External"/><Relationship Id="rId63" Type="http://schemas.openxmlformats.org/officeDocument/2006/relationships/hyperlink" Target="https://tabs.ultimate-guitar.com/tab/the-doors/riders-on-the-storm-official-2212149" TargetMode="External"/><Relationship Id="rId68" Type="http://schemas.openxmlformats.org/officeDocument/2006/relationships/hyperlink" Target="https://www.kingsofewing.com/docs/music/smooth_operator.pdf" TargetMode="External"/><Relationship Id="rId84" Type="http://schemas.openxmlformats.org/officeDocument/2006/relationships/hyperlink" Target="https://www.kingsofewing.com/docs/music/war_pigs_official.pdf" TargetMode="External"/><Relationship Id="rId89" Type="http://schemas.openxmlformats.org/officeDocument/2006/relationships/hyperlink" Target="https://tabs.ultimate-guitar.com/tab/tom-petty/i-wont-back-down-official-2175865" TargetMode="External"/><Relationship Id="rId16" Type="http://schemas.openxmlformats.org/officeDocument/2006/relationships/hyperlink" Target="https://tabs.ultimate-guitar.com/tab/oasis/dont-look-back-in-anger-official-1910905" TargetMode="External"/><Relationship Id="rId11" Type="http://schemas.openxmlformats.org/officeDocument/2006/relationships/hyperlink" Target="https://www.kingsofewing.com/docs/music/dedicated%20follower%20of%20fashion.pdf" TargetMode="External"/><Relationship Id="rId32" Type="http://schemas.openxmlformats.org/officeDocument/2006/relationships/hyperlink" Target="https://tabs.ultimate-guitar.com/tab/jeff-tweedy/guess-again-chords-3344825" TargetMode="External"/><Relationship Id="rId37" Type="http://schemas.openxmlformats.org/officeDocument/2006/relationships/hyperlink" Target="https://www.kingsofewing.com/docs/music/ive_got_a_feeling_official.pdf" TargetMode="External"/><Relationship Id="rId53" Type="http://schemas.openxmlformats.org/officeDocument/2006/relationships/hyperlink" Target="https://tabs.ultimate-guitar.com/tab/the-allman-brothers-band/midnight-rider-official-2611482" TargetMode="External"/><Relationship Id="rId58" Type="http://schemas.openxmlformats.org/officeDocument/2006/relationships/hyperlink" Target="https://www.kingsofewing.com/docs/music/ohio.pdf" TargetMode="External"/><Relationship Id="rId74" Type="http://schemas.openxmlformats.org/officeDocument/2006/relationships/hyperlink" Target="https://www.kingsofewing.com/docs/music/Teach%20Your%20Children.pdf" TargetMode="External"/><Relationship Id="rId79" Type="http://schemas.openxmlformats.org/officeDocument/2006/relationships/hyperlink" Target="https://tabs.ultimate-guitar.com/tab/the-who/the-seeker-official-2938316" TargetMode="External"/><Relationship Id="rId5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he-beatles/dont-let-me-down-official-1962071" TargetMode="External"/><Relationship Id="rId22" Type="http://schemas.openxmlformats.org/officeDocument/2006/relationships/hyperlink" Target="https://tabs.ultimate-guitar.com/tab/kacey-musgraves/follow-your-arrow-official-4171309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laufey/from-the-start-official-4776938" TargetMode="External"/><Relationship Id="rId35" Type="http://schemas.openxmlformats.org/officeDocument/2006/relationships/hyperlink" Target="https://www.kingsofewing.com/docs/music/heroes.pdf" TargetMode="External"/><Relationship Id="rId43" Type="http://schemas.openxmlformats.org/officeDocument/2006/relationships/hyperlink" Target="https://www.kingsofewing.com/docs/music/kings%20of%20ewing.pdf" TargetMode="External"/><Relationship Id="rId48" Type="http://schemas.openxmlformats.org/officeDocument/2006/relationships/hyperlink" Target="https://www.kingsofewing.com/docs/music/little_by_little.pdf" TargetMode="External"/><Relationship Id="rId56" Type="http://schemas.openxmlformats.org/officeDocument/2006/relationships/hyperlink" Target="https://www.kingsofewing.com/docs/music/octopus_garden.pdf" TargetMode="External"/><Relationship Id="rId64" Type="http://schemas.openxmlformats.org/officeDocument/2006/relationships/hyperlink" Target="https://www.kingsofewing.com/docs/music/rockin%20in%20the%20free%20world.pdf" TargetMode="External"/><Relationship Id="rId69" Type="http://schemas.openxmlformats.org/officeDocument/2006/relationships/hyperlink" Target="https://tabs.ultimate-guitar.com/tab/sade/smooth-operator-official-1979485" TargetMode="External"/><Relationship Id="rId77" Type="http://schemas.openxmlformats.org/officeDocument/2006/relationships/hyperlink" Target="https://tabs.ultimate-guitar.com/tab/leon-bridges/thats-what-i-love-chords-5492289" TargetMode="External"/><Relationship Id="rId8" Type="http://schemas.openxmlformats.org/officeDocument/2006/relationships/hyperlink" Target="https://tabs.ultimate-guitar.com/tab/the-beatles/come-together-official-1950291" TargetMode="External"/><Relationship Id="rId51" Type="http://schemas.openxmlformats.org/officeDocument/2006/relationships/hyperlink" Target="https://tabs.ultimate-guitar.com/tab/the-police/message-in-a-bottle-official-1957169" TargetMode="External"/><Relationship Id="rId72" Type="http://schemas.openxmlformats.org/officeDocument/2006/relationships/hyperlink" Target="https://www.kingsofewing.com/docs/music/sympathy%20for%20the%20devil.pdf" TargetMode="External"/><Relationship Id="rId80" Type="http://schemas.openxmlformats.org/officeDocument/2006/relationships/hyperlink" Target="https://www.kingsofewing.com/docs/music/voodoo_child.pdf" TargetMode="External"/><Relationship Id="rId85" Type="http://schemas.openxmlformats.org/officeDocument/2006/relationships/hyperlink" Target="https://tabs.ultimate-guitar.com/tab/black-sabbath/war-pigs-official-200333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kinks/dedicated-follower-of-fashion-official-4884518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head%20over%20heels%20official.pdf" TargetMode="External"/><Relationship Id="rId38" Type="http://schemas.openxmlformats.org/officeDocument/2006/relationships/hyperlink" Target="https://tabs.ultimate-guitar.com/tab/the-beatles/ive-got-a-feeling-official-2631297" TargetMode="External"/><Relationship Id="rId46" Type="http://schemas.openxmlformats.org/officeDocument/2006/relationships/hyperlink" Target="https://www.kingsofewing.com/docs/music/let%20me%20roll%20it%20official.pdf" TargetMode="External"/><Relationship Id="rId59" Type="http://schemas.openxmlformats.org/officeDocument/2006/relationships/hyperlink" Target="https://tabs.ultimate-guitar.com/tab/neil-young/ohio-official-2548995" TargetMode="External"/><Relationship Id="rId67" Type="http://schemas.openxmlformats.org/officeDocument/2006/relationships/hyperlink" Target="https://tabs.ultimate-guitar.com/tab/the-white-stripes/seven-nation-army-official-1911521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41" Type="http://schemas.openxmlformats.org/officeDocument/2006/relationships/hyperlink" Target="https://www.kingsofewing.com/docs/music/just_what_i_needed.pdf" TargetMode="External"/><Relationship Id="rId54" Type="http://schemas.openxmlformats.org/officeDocument/2006/relationships/hyperlink" Target="https://www.kingsofewing.com/docs/music/no%20one%20to%20depend%20on.pdf" TargetMode="External"/><Relationship Id="rId62" Type="http://schemas.openxmlformats.org/officeDocument/2006/relationships/hyperlink" Target="https://www.kingsofewing.com/docs/music/riders%20on%20the%20storm.pdf" TargetMode="External"/><Relationship Id="rId70" Type="http://schemas.openxmlformats.org/officeDocument/2006/relationships/hyperlink" Target="https://www.kingsofewing.com/docs/music/starlight.pdf" TargetMode="External"/><Relationship Id="rId75" Type="http://schemas.openxmlformats.org/officeDocument/2006/relationships/hyperlink" Target="https://tabs.ultimate-guitar.com/tab/crosby-stills-nash-young/teach-your-children-official-2815919" TargetMode="External"/><Relationship Id="rId83" Type="http://schemas.openxmlformats.org/officeDocument/2006/relationships/hyperlink" Target="https://tabs.ultimate-guitar.com/tab/neil-young/walk-on-chords-88633" TargetMode="External"/><Relationship Id="rId88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dandy-warhols/bohemian-like-you-official-2829043" TargetMode="External"/><Relationship Id="rId15" Type="http://schemas.openxmlformats.org/officeDocument/2006/relationships/hyperlink" Target="https://www.kingsofewing.com/docs/music/dont_look_back_in_anger_official.pdf" TargetMode="External"/><Relationship Id="rId23" Type="http://schemas.openxmlformats.org/officeDocument/2006/relationships/hyperlink" Target="https://www.kingsofewing.com/docs/music/for_what_its_worth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david-bowie/heroes-official-2457982" TargetMode="External"/><Relationship Id="rId49" Type="http://schemas.openxmlformats.org/officeDocument/2006/relationships/hyperlink" Target="https://tabs.ultimate-guitar.com/tab/oasis/little-by-little-official-2497398" TargetMode="External"/><Relationship Id="rId57" Type="http://schemas.openxmlformats.org/officeDocument/2006/relationships/hyperlink" Target="https://tabs.ultimate-guitar.com/tab/the-beatles/octopuss-garden-official-1957271" TargetMode="External"/><Relationship Id="rId10" Type="http://schemas.openxmlformats.org/officeDocument/2006/relationships/hyperlink" Target="https://tabs.ultimate-guitar.com/tab/cream/crossroads-official-1983079" TargetMode="External"/><Relationship Id="rId31" Type="http://schemas.openxmlformats.org/officeDocument/2006/relationships/hyperlink" Target="https://www.kingsofewing.com/docs/music/guess_again.pdf" TargetMode="External"/><Relationship Id="rId44" Type="http://schemas.openxmlformats.org/officeDocument/2006/relationships/hyperlink" Target="https://www.kingsofewing.com/docs/music/laid.pdf" TargetMode="External"/><Relationship Id="rId52" Type="http://schemas.openxmlformats.org/officeDocument/2006/relationships/hyperlink" Target="https://www.kingsofewing.com/docs/music/midnight%20rider.pdf" TargetMode="External"/><Relationship Id="rId60" Type="http://schemas.openxmlformats.org/officeDocument/2006/relationships/hyperlink" Target="https://www.kingsofewing.com/docs/music/pink_pony_club.pdf" TargetMode="External"/><Relationship Id="rId65" Type="http://schemas.openxmlformats.org/officeDocument/2006/relationships/hyperlink" Target="https://tabs.ultimate-guitar.com/tab/neil-young/rockin-in-the-free-world-official-2518044" TargetMode="External"/><Relationship Id="rId73" Type="http://schemas.openxmlformats.org/officeDocument/2006/relationships/hyperlink" Target="https://tabs.ultimate-guitar.com/tab/the-rolling-stones/sympathy-for-the-devil-official-2383129" TargetMode="External"/><Relationship Id="rId78" Type="http://schemas.openxmlformats.org/officeDocument/2006/relationships/hyperlink" Target="https://www.kingsofewing.com/docs/music/the_seeker_official.pdf" TargetMode="External"/><Relationship Id="rId81" Type="http://schemas.openxmlformats.org/officeDocument/2006/relationships/hyperlink" Target="https://tabs.ultimate-guitar.com/tab/jimi-hendrix/voodoo-child-slight-return-official-2420407" TargetMode="External"/><Relationship Id="rId86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Crossroads.pdf" TargetMode="External"/><Relationship Id="rId13" Type="http://schemas.openxmlformats.org/officeDocument/2006/relationships/hyperlink" Target="https://www.kingsofewing.com/docs/music/dont%20let%20me%20down.pdf" TargetMode="External"/><Relationship Id="rId18" Type="http://schemas.openxmlformats.org/officeDocument/2006/relationships/hyperlink" Target="https://tabs.ultimate-guitar.com/tab/neil-young/down-by-the-river-official-2701248" TargetMode="External"/><Relationship Id="rId39" Type="http://schemas.openxmlformats.org/officeDocument/2006/relationships/hyperlink" Target="https://www.kingsofewing.com/docs/music/just%20like%20heaven.pdf" TargetMode="External"/><Relationship Id="rId34" Type="http://schemas.openxmlformats.org/officeDocument/2006/relationships/hyperlink" Target="https://tabs.ultimate-guitar.com/tab/tears-for-fears/head-over-heels-official-2717880" TargetMode="External"/><Relationship Id="rId50" Type="http://schemas.openxmlformats.org/officeDocument/2006/relationships/hyperlink" Target="https://www.kingsofewing.com/docs/music/message_in_a_bottle.pdf" TargetMode="External"/><Relationship Id="rId55" Type="http://schemas.openxmlformats.org/officeDocument/2006/relationships/hyperlink" Target="https://tabs.ultimate-guitar.com/tab/santana/no-one-to-depend-on-chords-3337193" TargetMode="External"/><Relationship Id="rId76" Type="http://schemas.openxmlformats.org/officeDocument/2006/relationships/hyperlink" Target="https://www.kingsofewing.com/docs/music/thats_what_i_love_chords.pdf" TargetMode="External"/><Relationship Id="rId7" Type="http://schemas.openxmlformats.org/officeDocument/2006/relationships/hyperlink" Target="https://www.kingsofewing.com/docs/music/come%20together%20official.pdf" TargetMode="External"/><Relationship Id="rId71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from%20the%20start%20official.pdf" TargetMode="External"/><Relationship Id="rId24" Type="http://schemas.openxmlformats.org/officeDocument/2006/relationships/hyperlink" Target="https://tabs.ultimate-guitar.com/tab/buffalo-springfield/for-what-its-worth-official-1956147" TargetMode="External"/><Relationship Id="rId40" Type="http://schemas.openxmlformats.org/officeDocument/2006/relationships/hyperlink" Target="https://tabs.ultimate-guitar.com/tab/the-cure/just-like-heaven-official-1961213" TargetMode="External"/><Relationship Id="rId45" Type="http://schemas.openxmlformats.org/officeDocument/2006/relationships/hyperlink" Target="https://tabs.ultimate-guitar.com/tab/james/laid-official-2685951" TargetMode="External"/><Relationship Id="rId66" Type="http://schemas.openxmlformats.org/officeDocument/2006/relationships/hyperlink" Target="https://www.kingsofewing.com/docs/music/seven%20nation%20army.pdf" TargetMode="External"/><Relationship Id="rId87" Type="http://schemas.openxmlformats.org/officeDocument/2006/relationships/hyperlink" Target="https://tabs.ultimate-guitar.com/tab/the-allman-brothers-band/whipping-post-official-2639163" TargetMode="External"/><Relationship Id="rId61" Type="http://schemas.openxmlformats.org/officeDocument/2006/relationships/hyperlink" Target="https://tabs.ultimate-guitar.com/tab/chappell-roan/pink-pony-club-official-5236500" TargetMode="External"/><Relationship Id="rId82" Type="http://schemas.openxmlformats.org/officeDocument/2006/relationships/hyperlink" Target="https://www.kingsofewing.com/docs/music/walk_on_chords.pdf" TargetMode="External"/><Relationship Id="rId19" Type="http://schemas.openxmlformats.org/officeDocument/2006/relationships/hyperlink" Target="https://www.kingsofewing.com/docs/music/end_of_the_world.pdf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head%20over%20heels%20official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he-beatles/come-together-official-1950291" TargetMode="External"/><Relationship Id="rId21" Type="http://schemas.openxmlformats.org/officeDocument/2006/relationships/hyperlink" Target="https://www.kingsofewing.com/docs/music/let%20me%20roll%20it%20official.pdf" TargetMode="External"/><Relationship Id="rId34" Type="http://schemas.openxmlformats.org/officeDocument/2006/relationships/hyperlink" Target="https://tabs.ultimate-guitar.com/tab/james/laid-official-2685951" TargetMode="External"/><Relationship Id="rId7" Type="http://schemas.openxmlformats.org/officeDocument/2006/relationships/hyperlink" Target="https://www.kingsofewing.com/docs/music/message_in_a_bottle.pdf" TargetMode="External"/><Relationship Id="rId12" Type="http://schemas.openxmlformats.org/officeDocument/2006/relationships/hyperlink" Target="https://tabs.ultimate-guitar.com/tab/oasis/little-by-little-official-2497398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come%20together%20official.pdf" TargetMode="External"/><Relationship Id="rId33" Type="http://schemas.openxmlformats.org/officeDocument/2006/relationships/hyperlink" Target="https://www.kingsofewing.com/docs/music/laid.pdf" TargetMode="External"/><Relationship Id="rId38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ure/just-like-heaven-official-1961213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29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little_by_little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just%20like%20heave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santana/no-one-to-depend-on-chords-3337193" TargetMode="External"/><Relationship Id="rId10" Type="http://schemas.openxmlformats.org/officeDocument/2006/relationships/hyperlink" Target="https://tabs.ultimate-guitar.com/tab/the-dandy-warhols/bohemian-like-you-official-2829043" TargetMode="External"/><Relationship Id="rId19" Type="http://schemas.openxmlformats.org/officeDocument/2006/relationships/hyperlink" Target="https://www.kingsofewing.com/docs/music/end_of_the_world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muse/starlight-official-1940709" TargetMode="External"/><Relationship Id="rId9" Type="http://schemas.openxmlformats.org/officeDocument/2006/relationships/hyperlink" Target="https://kingsofewing.com/docs/music/Bohemian%20Like%20You.pdf" TargetMode="External"/><Relationship Id="rId14" Type="http://schemas.openxmlformats.org/officeDocument/2006/relationships/hyperlink" Target="https://tabs.ultimate-guitar.com/tab/tears-for-fears/head-over-heels-official-2717880" TargetMode="External"/><Relationship Id="rId22" Type="http://schemas.openxmlformats.org/officeDocument/2006/relationships/hyperlink" Target="https://tabs.ultimate-guitar.com/tab/wings/let-me-roll-it-official-3333080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neil-young/walk-on-chords-88633" TargetMode="External"/><Relationship Id="rId35" Type="http://schemas.openxmlformats.org/officeDocument/2006/relationships/hyperlink" Target="https://www.kingsofewing.com/docs/music/no%20one%20to%20depend%20on.pdf" TargetMode="External"/><Relationship Id="rId8" Type="http://schemas.openxmlformats.org/officeDocument/2006/relationships/hyperlink" Target="https://tabs.ultimate-guitar.com/tab/the-police/message-in-a-bottle-official-1957169" TargetMode="External"/><Relationship Id="rId3" Type="http://schemas.openxmlformats.org/officeDocument/2006/relationships/hyperlink" Target="https://www.kingsofewing.com/docs/music/starlight.pdf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tom-petty/i-wont-back-down-official-2175865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kingsofewing.com/docs/music/Bohemian%20Like%20You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won%27t%20back%20dow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hipping_pos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he-police/message-in-a-bottle-official-1957169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message_in_a_bottle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fortunate%20son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he-allman-brothers-band/whipping-post-official-2639163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und%20out%20about%20you.pdf" TargetMode="External"/><Relationship Id="rId18" Type="http://schemas.openxmlformats.org/officeDocument/2006/relationships/hyperlink" Target="https://tabs.ultimate-guitar.com/tab/tom-petty/i-wont-back-down-official-2175865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ohio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sade/smooth-operator-official-1979485" TargetMode="External"/><Relationship Id="rId42" Type="http://schemas.openxmlformats.org/officeDocument/2006/relationships/hyperlink" Target="https://tabs.ultimate-guitar.com/tab/r-e-m-/its-the-end-of-the-world-as-we-know-it-and-i-feel-fine-official-2789386" TargetMode="External"/><Relationship Id="rId47" Type="http://schemas.openxmlformats.org/officeDocument/2006/relationships/hyperlink" Target="https://www.kingsofewing.com/docs/music/just%20like%20heaven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walk_on_chor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Crossroads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creedence-clearwater-revival/fortunate-son-official-1945887" TargetMode="External"/><Relationship Id="rId37" Type="http://schemas.openxmlformats.org/officeDocument/2006/relationships/hyperlink" Target="https://www.kingsofewing.com/docs/music/head%20over%20heels%20official.pdf" TargetMode="External"/><Relationship Id="rId40" Type="http://schemas.openxmlformats.org/officeDocument/2006/relationships/hyperlink" Target="https://tabs.ultimate-guitar.com/tab/neil-young/ohio-official-2548995" TargetMode="External"/><Relationship Id="rId45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let%20me%20roll%20it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the-allman-brothers-band/midnight-rider-official-2611482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fortunate%20son.pdf" TargetMode="External"/><Relationship Id="rId44" Type="http://schemas.openxmlformats.org/officeDocument/2006/relationships/hyperlink" Target="https://tabs.ultimate-guitar.com/tab/muse/starlight-official-1940709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who/the-seeker-official-2938316" TargetMode="External"/><Relationship Id="rId9" Type="http://schemas.openxmlformats.org/officeDocument/2006/relationships/hyperlink" Target="https://www.kingsofewing.com/docs/music/midnight%20rider.pdf" TargetMode="External"/><Relationship Id="rId14" Type="http://schemas.openxmlformats.org/officeDocument/2006/relationships/hyperlink" Target="https://tabs.ultimate-guitar.com/tab/gin-blossoms/found-out-about-you-official-3430250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starlight.pdf" TargetMode="External"/><Relationship Id="rId48" Type="http://schemas.openxmlformats.org/officeDocument/2006/relationships/hyperlink" Target="https://tabs.ultimate-guitar.com/tab/the-cure/just-like-heaven-official-1961213" TargetMode="External"/><Relationship Id="rId8" Type="http://schemas.openxmlformats.org/officeDocument/2006/relationships/hyperlink" Target="https://tabs.ultimate-guitar.com/tab/neil-young/walk-on-chords-88633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the_seeker_official.pdf" TargetMode="External"/><Relationship Id="rId12" Type="http://schemas.openxmlformats.org/officeDocument/2006/relationships/hyperlink" Target="https://tabs.ultimate-guitar.com/tab/cream/crossroads-official-1983079" TargetMode="External"/><Relationship Id="rId17" Type="http://schemas.openxmlformats.org/officeDocument/2006/relationships/hyperlink" Target="https://www.kingsofewing.com/docs/music/won%27t%20back%20down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smooth_operator.pdf" TargetMode="External"/><Relationship Id="rId38" Type="http://schemas.openxmlformats.org/officeDocument/2006/relationships/hyperlink" Target="https://tabs.ultimate-guitar.com/tab/tears-for-fears/head-over-heels-official-2717880" TargetMode="External"/><Relationship Id="rId4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end_of_the_world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wings/let-me-roll-it-official-3333080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1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50"/>
  <sheetViews>
    <sheetView workbookViewId="0">
      <pane xSplit="1" ySplit="2" topLeftCell="AA3" activePane="bottomRight" state="frozen"/>
      <selection pane="topRight" activeCell="B1" sqref="B1"/>
      <selection pane="bottomLeft" activeCell="A3" sqref="A3"/>
      <selection pane="bottomRight" activeCell="AD11" sqref="AD11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0" width="28.33203125" bestFit="1" customWidth="1"/>
    <col min="31" max="31" width="17.6640625" customWidth="1"/>
  </cols>
  <sheetData>
    <row r="1" spans="1:31" s="134" customFormat="1" ht="28" customHeight="1" thickBot="1" x14ac:dyDescent="0.25">
      <c r="A1" s="131" t="s">
        <v>0</v>
      </c>
      <c r="B1" s="132"/>
      <c r="C1" s="132"/>
      <c r="D1" s="132"/>
      <c r="E1" s="132"/>
      <c r="F1" s="132"/>
      <c r="G1" s="132"/>
      <c r="H1" s="132"/>
      <c r="I1" s="132"/>
      <c r="J1" s="133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</row>
    <row r="2" spans="1:31" s="140" customFormat="1" ht="56" customHeight="1" thickBot="1" x14ac:dyDescent="0.25">
      <c r="A2" s="135" t="s">
        <v>1</v>
      </c>
      <c r="B2" s="136" t="s">
        <v>2</v>
      </c>
      <c r="C2" s="136" t="s">
        <v>3</v>
      </c>
      <c r="D2" s="136" t="s">
        <v>4</v>
      </c>
      <c r="E2" s="136" t="s">
        <v>5</v>
      </c>
      <c r="F2" s="136" t="s">
        <v>6</v>
      </c>
      <c r="G2" s="136" t="s">
        <v>7</v>
      </c>
      <c r="H2" s="136" t="s">
        <v>8</v>
      </c>
      <c r="I2" s="136" t="s">
        <v>9</v>
      </c>
      <c r="J2" s="136" t="s">
        <v>10</v>
      </c>
      <c r="K2" s="136" t="s">
        <v>11</v>
      </c>
      <c r="L2" s="137" t="s">
        <v>12</v>
      </c>
      <c r="M2" s="138" t="s">
        <v>13</v>
      </c>
      <c r="N2" s="138" t="s">
        <v>14</v>
      </c>
      <c r="O2" s="139" t="s">
        <v>15</v>
      </c>
      <c r="P2" s="139" t="s">
        <v>16</v>
      </c>
      <c r="Q2" s="139" t="s">
        <v>17</v>
      </c>
      <c r="R2" s="139" t="s">
        <v>18</v>
      </c>
      <c r="S2" s="139" t="s">
        <v>19</v>
      </c>
      <c r="T2" s="139" t="s">
        <v>20</v>
      </c>
      <c r="U2" s="139" t="s">
        <v>21</v>
      </c>
      <c r="V2" s="139" t="s">
        <v>22</v>
      </c>
      <c r="W2" s="139" t="s">
        <v>23</v>
      </c>
      <c r="X2" s="139" t="s">
        <v>24</v>
      </c>
      <c r="Y2" s="139" t="s">
        <v>25</v>
      </c>
      <c r="Z2" s="139" t="s">
        <v>26</v>
      </c>
      <c r="AA2" s="139" t="s">
        <v>27</v>
      </c>
      <c r="AB2" s="139" t="s">
        <v>28</v>
      </c>
      <c r="AC2" s="139" t="s">
        <v>29</v>
      </c>
      <c r="AD2" s="141" t="s">
        <v>30</v>
      </c>
      <c r="AE2" s="142" t="s">
        <v>31</v>
      </c>
    </row>
    <row r="3" spans="1:31" s="130" customFormat="1" ht="22" customHeight="1" x14ac:dyDescent="0.2">
      <c r="A3" t="s">
        <v>32</v>
      </c>
      <c r="B3" t="s">
        <v>2</v>
      </c>
      <c r="C3" t="s">
        <v>3</v>
      </c>
      <c r="D3" t="s">
        <v>33</v>
      </c>
      <c r="E3" t="s">
        <v>34</v>
      </c>
      <c r="F3" s="143">
        <v>3.483796296296296E-3</v>
      </c>
      <c r="G3" t="s">
        <v>35</v>
      </c>
      <c r="J3" t="s">
        <v>36</v>
      </c>
      <c r="K3" t="s">
        <v>37</v>
      </c>
      <c r="L3">
        <f t="shared" ref="L3:L49" si="0">COUNTIF(M3:AV3,"✓")</f>
        <v>0</v>
      </c>
    </row>
    <row r="4" spans="1:31" s="114" customFormat="1" ht="22" customHeight="1" x14ac:dyDescent="0.2">
      <c r="A4" s="125" t="s">
        <v>38</v>
      </c>
      <c r="B4" s="126" t="s">
        <v>2</v>
      </c>
      <c r="C4" s="126" t="s">
        <v>3</v>
      </c>
      <c r="D4" s="125" t="s">
        <v>39</v>
      </c>
      <c r="E4" s="125" t="s">
        <v>34</v>
      </c>
      <c r="F4" s="127">
        <v>2.7662037037037039E-3</v>
      </c>
      <c r="G4" s="125" t="s">
        <v>40</v>
      </c>
      <c r="H4" s="125"/>
      <c r="I4" s="125" t="s">
        <v>37</v>
      </c>
      <c r="J4" s="125" t="s">
        <v>41</v>
      </c>
      <c r="K4" s="125"/>
      <c r="L4" s="128">
        <f t="shared" si="0"/>
        <v>2</v>
      </c>
      <c r="M4" s="128"/>
      <c r="N4" s="128"/>
      <c r="O4" s="129"/>
      <c r="P4" s="125"/>
      <c r="Q4" s="125"/>
      <c r="R4" s="125"/>
      <c r="S4" s="125"/>
      <c r="T4" s="125"/>
      <c r="U4" s="125"/>
      <c r="V4" s="125" t="s">
        <v>37</v>
      </c>
      <c r="W4" s="125" t="s">
        <v>37</v>
      </c>
      <c r="X4" s="125"/>
      <c r="Y4" s="125"/>
      <c r="Z4" s="125"/>
      <c r="AA4" s="125"/>
      <c r="AB4" s="125"/>
      <c r="AC4" s="125"/>
    </row>
    <row r="5" spans="1:31" s="114" customFormat="1" ht="22" customHeight="1" x14ac:dyDescent="0.2">
      <c r="A5" s="115" t="s">
        <v>42</v>
      </c>
      <c r="B5" s="116" t="s">
        <v>2</v>
      </c>
      <c r="C5" s="116" t="s">
        <v>3</v>
      </c>
      <c r="D5" s="115" t="s">
        <v>43</v>
      </c>
      <c r="E5" s="115" t="s">
        <v>34</v>
      </c>
      <c r="F5" s="117">
        <v>3.9583333333333337E-3</v>
      </c>
      <c r="G5" s="115" t="s">
        <v>44</v>
      </c>
      <c r="H5" s="115"/>
      <c r="I5" s="115"/>
      <c r="J5" s="115" t="s">
        <v>45</v>
      </c>
      <c r="K5" s="115"/>
      <c r="L5" s="128">
        <f t="shared" si="0"/>
        <v>3</v>
      </c>
      <c r="M5" s="118"/>
      <c r="N5" s="118"/>
      <c r="O5" s="119"/>
      <c r="P5" s="115"/>
      <c r="Q5" s="115" t="s">
        <v>37</v>
      </c>
      <c r="R5" s="115" t="s">
        <v>37</v>
      </c>
      <c r="S5" s="115"/>
      <c r="T5" s="115"/>
      <c r="U5" s="115"/>
      <c r="V5" s="115" t="s">
        <v>37</v>
      </c>
      <c r="W5" s="115"/>
      <c r="X5" s="115"/>
      <c r="Y5" s="115"/>
      <c r="Z5" s="115"/>
      <c r="AA5" s="115"/>
      <c r="AB5" s="115"/>
      <c r="AC5" s="115"/>
    </row>
    <row r="6" spans="1:31" s="114" customFormat="1" ht="22" customHeight="1" x14ac:dyDescent="0.2">
      <c r="A6" s="109" t="s">
        <v>46</v>
      </c>
      <c r="B6" s="120" t="s">
        <v>2</v>
      </c>
      <c r="C6" s="110" t="s">
        <v>3</v>
      </c>
      <c r="D6" s="109" t="s">
        <v>47</v>
      </c>
      <c r="E6" s="109" t="s">
        <v>34</v>
      </c>
      <c r="F6" s="111">
        <v>2.5810185185185189E-3</v>
      </c>
      <c r="G6" s="109" t="s">
        <v>35</v>
      </c>
      <c r="H6" s="109"/>
      <c r="I6" s="109" t="s">
        <v>37</v>
      </c>
      <c r="J6" s="109" t="s">
        <v>36</v>
      </c>
      <c r="K6" s="109"/>
      <c r="L6" s="128">
        <f t="shared" si="0"/>
        <v>9</v>
      </c>
      <c r="M6" s="112"/>
      <c r="N6" s="112"/>
      <c r="O6" s="109" t="s">
        <v>37</v>
      </c>
      <c r="P6" s="109"/>
      <c r="Q6" s="109" t="s">
        <v>37</v>
      </c>
      <c r="R6" s="109" t="s">
        <v>37</v>
      </c>
      <c r="S6" s="109"/>
      <c r="T6" s="109" t="s">
        <v>37</v>
      </c>
      <c r="U6" s="109"/>
      <c r="V6" s="109" t="s">
        <v>37</v>
      </c>
      <c r="W6" s="109"/>
      <c r="X6" s="109"/>
      <c r="Y6" s="109" t="s">
        <v>37</v>
      </c>
      <c r="Z6" s="109"/>
      <c r="AA6" s="109" t="s">
        <v>37</v>
      </c>
      <c r="AB6" s="109" t="s">
        <v>37</v>
      </c>
      <c r="AC6" s="109" t="s">
        <v>37</v>
      </c>
    </row>
    <row r="7" spans="1:31" s="114" customFormat="1" ht="22" customHeight="1" x14ac:dyDescent="0.2">
      <c r="A7" s="115" t="s">
        <v>48</v>
      </c>
      <c r="B7" s="116" t="s">
        <v>2</v>
      </c>
      <c r="C7" s="116" t="s">
        <v>3</v>
      </c>
      <c r="D7" s="115" t="s">
        <v>49</v>
      </c>
      <c r="E7" s="115" t="s">
        <v>34</v>
      </c>
      <c r="F7" s="117">
        <v>2.719907407407407E-3</v>
      </c>
      <c r="G7" s="115" t="s">
        <v>35</v>
      </c>
      <c r="H7" s="115"/>
      <c r="I7" s="115" t="s">
        <v>37</v>
      </c>
      <c r="J7" s="115" t="s">
        <v>50</v>
      </c>
      <c r="K7" s="115"/>
      <c r="L7" s="128">
        <f t="shared" si="0"/>
        <v>4</v>
      </c>
      <c r="M7" s="118"/>
      <c r="N7" s="118"/>
      <c r="O7" s="119"/>
      <c r="P7" s="115"/>
      <c r="Q7" s="115"/>
      <c r="R7" s="115"/>
      <c r="S7" s="115"/>
      <c r="T7" s="115"/>
      <c r="U7" s="115"/>
      <c r="V7" s="115" t="s">
        <v>37</v>
      </c>
      <c r="W7" s="115"/>
      <c r="X7" s="115" t="s">
        <v>37</v>
      </c>
      <c r="Y7" s="115" t="s">
        <v>37</v>
      </c>
      <c r="Z7" s="115"/>
      <c r="AA7" s="115"/>
      <c r="AB7" s="115"/>
      <c r="AC7" s="115" t="s">
        <v>37</v>
      </c>
    </row>
    <row r="8" spans="1:31" s="114" customFormat="1" ht="22" customHeight="1" x14ac:dyDescent="0.2">
      <c r="A8" s="109" t="s">
        <v>51</v>
      </c>
      <c r="B8" s="121" t="s">
        <v>2</v>
      </c>
      <c r="C8" s="121" t="s">
        <v>3</v>
      </c>
      <c r="D8" s="109" t="s">
        <v>52</v>
      </c>
      <c r="E8" s="109" t="s">
        <v>34</v>
      </c>
      <c r="F8" s="111">
        <v>3.414351851851852E-3</v>
      </c>
      <c r="G8" s="109" t="s">
        <v>40</v>
      </c>
      <c r="H8" s="109"/>
      <c r="I8" s="109" t="s">
        <v>37</v>
      </c>
      <c r="J8" s="109" t="s">
        <v>50</v>
      </c>
      <c r="K8" s="109"/>
      <c r="L8" s="128">
        <f t="shared" si="0"/>
        <v>5</v>
      </c>
      <c r="M8" s="112"/>
      <c r="N8" s="112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 t="s">
        <v>37</v>
      </c>
      <c r="Z8" s="109" t="s">
        <v>37</v>
      </c>
      <c r="AA8" s="109" t="s">
        <v>37</v>
      </c>
      <c r="AB8" s="109" t="s">
        <v>37</v>
      </c>
      <c r="AC8" s="109" t="s">
        <v>37</v>
      </c>
    </row>
    <row r="9" spans="1:31" s="114" customFormat="1" ht="22" customHeight="1" x14ac:dyDescent="0.2">
      <c r="A9" s="115" t="s">
        <v>53</v>
      </c>
      <c r="B9" s="116" t="s">
        <v>2</v>
      </c>
      <c r="C9" s="116" t="s">
        <v>3</v>
      </c>
      <c r="D9" s="115" t="s">
        <v>54</v>
      </c>
      <c r="E9" s="115" t="s">
        <v>34</v>
      </c>
      <c r="F9" s="117">
        <v>1.747685185185185E-3</v>
      </c>
      <c r="G9" s="115" t="s">
        <v>55</v>
      </c>
      <c r="H9" s="115" t="s">
        <v>37</v>
      </c>
      <c r="I9" s="115" t="s">
        <v>37</v>
      </c>
      <c r="J9" s="115" t="s">
        <v>50</v>
      </c>
      <c r="K9" s="115"/>
      <c r="L9" s="128">
        <f t="shared" si="0"/>
        <v>9</v>
      </c>
      <c r="M9" s="118" t="s">
        <v>37</v>
      </c>
      <c r="N9" s="118"/>
      <c r="O9" s="119" t="s">
        <v>37</v>
      </c>
      <c r="P9" s="115"/>
      <c r="Q9" s="115" t="s">
        <v>37</v>
      </c>
      <c r="R9" s="115" t="s">
        <v>37</v>
      </c>
      <c r="S9" s="115" t="s">
        <v>37</v>
      </c>
      <c r="T9" s="115" t="s">
        <v>37</v>
      </c>
      <c r="U9" s="115" t="s">
        <v>37</v>
      </c>
      <c r="V9" s="115" t="s">
        <v>37</v>
      </c>
      <c r="W9" s="115"/>
      <c r="X9" s="115"/>
      <c r="Y9" s="115" t="s">
        <v>37</v>
      </c>
      <c r="Z9" s="115"/>
      <c r="AA9" s="115"/>
      <c r="AB9" s="115"/>
      <c r="AC9" s="115"/>
    </row>
    <row r="10" spans="1:31" s="114" customFormat="1" ht="22" customHeight="1" x14ac:dyDescent="0.2">
      <c r="A10" s="109" t="s">
        <v>56</v>
      </c>
      <c r="B10" s="121" t="s">
        <v>2</v>
      </c>
      <c r="C10" s="121" t="s">
        <v>3</v>
      </c>
      <c r="D10" s="109" t="s">
        <v>49</v>
      </c>
      <c r="E10" s="109" t="s">
        <v>34</v>
      </c>
      <c r="F10" s="111">
        <v>2.1875000000000002E-3</v>
      </c>
      <c r="G10" s="109" t="s">
        <v>40</v>
      </c>
      <c r="H10" s="109"/>
      <c r="I10" s="109" t="s">
        <v>37</v>
      </c>
      <c r="J10" s="109" t="s">
        <v>50</v>
      </c>
      <c r="K10" s="109"/>
      <c r="L10" s="128">
        <f t="shared" si="0"/>
        <v>17</v>
      </c>
      <c r="M10" s="112" t="s">
        <v>37</v>
      </c>
      <c r="N10" s="112" t="s">
        <v>37</v>
      </c>
      <c r="O10" s="109" t="s">
        <v>37</v>
      </c>
      <c r="P10" s="109" t="s">
        <v>37</v>
      </c>
      <c r="Q10" s="109" t="s">
        <v>37</v>
      </c>
      <c r="R10" s="109" t="s">
        <v>37</v>
      </c>
      <c r="S10" s="109" t="s">
        <v>37</v>
      </c>
      <c r="T10" s="109" t="s">
        <v>37</v>
      </c>
      <c r="U10" s="109" t="s">
        <v>37</v>
      </c>
      <c r="V10" s="109" t="s">
        <v>37</v>
      </c>
      <c r="W10" s="109" t="s">
        <v>37</v>
      </c>
      <c r="X10" s="109" t="s">
        <v>37</v>
      </c>
      <c r="Y10" s="109" t="s">
        <v>37</v>
      </c>
      <c r="Z10" s="109" t="s">
        <v>37</v>
      </c>
      <c r="AA10" s="109" t="s">
        <v>37</v>
      </c>
      <c r="AB10" s="109" t="s">
        <v>37</v>
      </c>
      <c r="AC10" s="109" t="s">
        <v>37</v>
      </c>
    </row>
    <row r="11" spans="1:31" s="114" customFormat="1" ht="22" customHeight="1" x14ac:dyDescent="0.2">
      <c r="A11" s="115" t="s">
        <v>57</v>
      </c>
      <c r="B11" s="116" t="s">
        <v>2</v>
      </c>
      <c r="C11" s="116" t="s">
        <v>3</v>
      </c>
      <c r="D11" s="115" t="s">
        <v>58</v>
      </c>
      <c r="E11" s="115" t="s">
        <v>34</v>
      </c>
      <c r="F11" s="117">
        <v>3.344907407407408E-3</v>
      </c>
      <c r="G11" s="115" t="s">
        <v>55</v>
      </c>
      <c r="H11" s="115" t="s">
        <v>37</v>
      </c>
      <c r="I11" s="115"/>
      <c r="J11" s="115" t="s">
        <v>45</v>
      </c>
      <c r="K11" s="115"/>
      <c r="L11" s="128">
        <f t="shared" si="0"/>
        <v>1</v>
      </c>
      <c r="M11" s="118"/>
      <c r="N11" s="118"/>
      <c r="O11" s="119"/>
      <c r="P11" s="115"/>
      <c r="Q11" s="115"/>
      <c r="R11" s="115" t="s">
        <v>37</v>
      </c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 spans="1:31" s="114" customFormat="1" ht="22" customHeight="1" x14ac:dyDescent="0.2">
      <c r="A12" s="109" t="s">
        <v>59</v>
      </c>
      <c r="B12" s="121" t="s">
        <v>2</v>
      </c>
      <c r="C12" s="121" t="s">
        <v>3</v>
      </c>
      <c r="D12" s="109" t="s">
        <v>60</v>
      </c>
      <c r="E12" s="109" t="s">
        <v>34</v>
      </c>
      <c r="F12" s="111">
        <v>5.5555555555555558E-3</v>
      </c>
      <c r="G12" s="109" t="s">
        <v>40</v>
      </c>
      <c r="H12" s="109"/>
      <c r="I12" s="109"/>
      <c r="J12" s="109" t="s">
        <v>41</v>
      </c>
      <c r="K12" s="109"/>
      <c r="L12" s="128">
        <f t="shared" si="0"/>
        <v>9</v>
      </c>
      <c r="M12" s="112" t="s">
        <v>37</v>
      </c>
      <c r="N12" s="112" t="s">
        <v>37</v>
      </c>
      <c r="O12" s="113" t="s">
        <v>37</v>
      </c>
      <c r="P12" s="109" t="s">
        <v>37</v>
      </c>
      <c r="Q12" s="109" t="s">
        <v>37</v>
      </c>
      <c r="R12" s="109" t="s">
        <v>37</v>
      </c>
      <c r="S12" s="109" t="s">
        <v>37</v>
      </c>
      <c r="T12" s="109"/>
      <c r="U12" s="109" t="s">
        <v>37</v>
      </c>
      <c r="V12" s="109" t="s">
        <v>37</v>
      </c>
      <c r="W12" s="109"/>
      <c r="X12" s="109"/>
      <c r="Y12" s="109"/>
      <c r="Z12" s="109"/>
      <c r="AA12" s="109"/>
      <c r="AB12" s="109"/>
      <c r="AC12" s="109"/>
    </row>
    <row r="13" spans="1:31" s="114" customFormat="1" ht="22" customHeight="1" x14ac:dyDescent="0.2">
      <c r="A13" s="115" t="s">
        <v>61</v>
      </c>
      <c r="B13" s="116" t="s">
        <v>2</v>
      </c>
      <c r="C13" s="116" t="s">
        <v>3</v>
      </c>
      <c r="D13" s="115" t="s">
        <v>62</v>
      </c>
      <c r="E13" s="115" t="s">
        <v>34</v>
      </c>
      <c r="F13" s="117">
        <v>2.743055555555555E-3</v>
      </c>
      <c r="G13" s="115" t="s">
        <v>35</v>
      </c>
      <c r="H13" s="115"/>
      <c r="I13" s="115" t="s">
        <v>37</v>
      </c>
      <c r="J13" s="115" t="s">
        <v>63</v>
      </c>
      <c r="K13" s="115"/>
      <c r="L13" s="128">
        <f t="shared" si="0"/>
        <v>6</v>
      </c>
      <c r="M13" s="118"/>
      <c r="N13" s="118"/>
      <c r="O13" s="115"/>
      <c r="P13" s="115"/>
      <c r="Q13" s="115"/>
      <c r="R13" s="115"/>
      <c r="S13" s="115"/>
      <c r="T13" s="115"/>
      <c r="U13" s="115"/>
      <c r="V13" s="115"/>
      <c r="W13" s="115"/>
      <c r="X13" s="115" t="s">
        <v>37</v>
      </c>
      <c r="Y13" s="115" t="s">
        <v>37</v>
      </c>
      <c r="Z13" s="115" t="s">
        <v>37</v>
      </c>
      <c r="AA13" s="115" t="s">
        <v>37</v>
      </c>
      <c r="AB13" s="115" t="s">
        <v>37</v>
      </c>
      <c r="AC13" s="115" t="s">
        <v>37</v>
      </c>
    </row>
    <row r="14" spans="1:31" s="114" customFormat="1" ht="22" customHeight="1" x14ac:dyDescent="0.2">
      <c r="A14" s="109" t="s">
        <v>64</v>
      </c>
      <c r="B14" s="121" t="s">
        <v>2</v>
      </c>
      <c r="C14" s="121" t="s">
        <v>3</v>
      </c>
      <c r="D14" s="109" t="s">
        <v>65</v>
      </c>
      <c r="E14" s="109" t="s">
        <v>66</v>
      </c>
      <c r="F14" s="111">
        <v>2.3032407407407411E-3</v>
      </c>
      <c r="G14" s="109" t="s">
        <v>35</v>
      </c>
      <c r="H14" s="109"/>
      <c r="I14" s="109" t="s">
        <v>37</v>
      </c>
      <c r="J14" s="109" t="s">
        <v>67</v>
      </c>
      <c r="K14" s="109"/>
      <c r="L14" s="128">
        <f t="shared" si="0"/>
        <v>2</v>
      </c>
      <c r="M14" s="112"/>
      <c r="N14" s="112"/>
      <c r="O14" s="113"/>
      <c r="P14" s="109"/>
      <c r="Q14" s="109"/>
      <c r="R14" s="109"/>
      <c r="S14" s="109"/>
      <c r="T14" s="109"/>
      <c r="U14" s="109" t="s">
        <v>37</v>
      </c>
      <c r="V14" s="109" t="s">
        <v>37</v>
      </c>
      <c r="W14" s="109"/>
      <c r="X14" s="109"/>
      <c r="Y14" s="109"/>
      <c r="Z14" s="109"/>
      <c r="AA14" s="109"/>
      <c r="AB14" s="109"/>
      <c r="AC14" s="109"/>
    </row>
    <row r="15" spans="1:31" s="114" customFormat="1" ht="22" customHeight="1" x14ac:dyDescent="0.2">
      <c r="A15" s="115" t="s">
        <v>68</v>
      </c>
      <c r="B15" s="122" t="s">
        <v>2</v>
      </c>
      <c r="C15" s="116" t="s">
        <v>3</v>
      </c>
      <c r="D15" s="115" t="s">
        <v>69</v>
      </c>
      <c r="E15" s="115" t="s">
        <v>34</v>
      </c>
      <c r="F15" s="117">
        <v>1.770833333333333E-3</v>
      </c>
      <c r="G15" s="115" t="s">
        <v>40</v>
      </c>
      <c r="H15" s="115"/>
      <c r="I15" s="115"/>
      <c r="J15" s="115" t="s">
        <v>50</v>
      </c>
      <c r="K15" s="115"/>
      <c r="L15" s="128">
        <f t="shared" si="0"/>
        <v>1</v>
      </c>
      <c r="M15" s="118" t="s">
        <v>37</v>
      </c>
      <c r="N15" s="118"/>
      <c r="O15" s="119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 spans="1:31" s="114" customFormat="1" ht="22" customHeight="1" x14ac:dyDescent="0.2">
      <c r="A16" s="109" t="s">
        <v>70</v>
      </c>
      <c r="B16" s="121" t="s">
        <v>2</v>
      </c>
      <c r="C16" s="121" t="s">
        <v>3</v>
      </c>
      <c r="D16" s="109" t="s">
        <v>71</v>
      </c>
      <c r="E16" s="109" t="s">
        <v>34</v>
      </c>
      <c r="F16" s="111">
        <v>2.7893518518518519E-3</v>
      </c>
      <c r="G16" s="109" t="s">
        <v>40</v>
      </c>
      <c r="H16" s="109"/>
      <c r="I16" s="109" t="s">
        <v>37</v>
      </c>
      <c r="J16" s="109" t="s">
        <v>50</v>
      </c>
      <c r="K16" s="109"/>
      <c r="L16" s="128">
        <f t="shared" si="0"/>
        <v>13</v>
      </c>
      <c r="M16" s="112"/>
      <c r="N16" s="112" t="s">
        <v>37</v>
      </c>
      <c r="O16" s="109" t="s">
        <v>37</v>
      </c>
      <c r="P16" s="109" t="s">
        <v>37</v>
      </c>
      <c r="Q16" s="109" t="s">
        <v>37</v>
      </c>
      <c r="R16" s="109" t="s">
        <v>37</v>
      </c>
      <c r="S16" s="109"/>
      <c r="T16" s="109" t="s">
        <v>37</v>
      </c>
      <c r="U16" s="109" t="s">
        <v>37</v>
      </c>
      <c r="V16" s="109" t="s">
        <v>37</v>
      </c>
      <c r="W16" s="109" t="s">
        <v>37</v>
      </c>
      <c r="X16" s="109"/>
      <c r="Y16" s="109" t="s">
        <v>37</v>
      </c>
      <c r="Z16" s="109"/>
      <c r="AA16" s="109" t="s">
        <v>37</v>
      </c>
      <c r="AB16" s="109" t="s">
        <v>37</v>
      </c>
      <c r="AC16" s="109" t="s">
        <v>37</v>
      </c>
    </row>
    <row r="17" spans="1:29" s="114" customFormat="1" ht="22" customHeight="1" x14ac:dyDescent="0.2">
      <c r="A17" s="115" t="s">
        <v>72</v>
      </c>
      <c r="B17" s="116" t="s">
        <v>2</v>
      </c>
      <c r="C17" s="116" t="s">
        <v>3</v>
      </c>
      <c r="D17" s="115" t="s">
        <v>73</v>
      </c>
      <c r="E17" s="115" t="s">
        <v>34</v>
      </c>
      <c r="F17" s="117">
        <v>2.488425925925926E-3</v>
      </c>
      <c r="G17" s="115" t="s">
        <v>44</v>
      </c>
      <c r="H17" s="115"/>
      <c r="I17" s="115" t="s">
        <v>37</v>
      </c>
      <c r="J17" s="115" t="s">
        <v>45</v>
      </c>
      <c r="K17" s="115"/>
      <c r="L17" s="128">
        <f t="shared" si="0"/>
        <v>8</v>
      </c>
      <c r="M17" s="118" t="s">
        <v>37</v>
      </c>
      <c r="N17" s="118"/>
      <c r="O17" s="119" t="s">
        <v>37</v>
      </c>
      <c r="P17" s="115" t="s">
        <v>37</v>
      </c>
      <c r="Q17" s="115" t="s">
        <v>37</v>
      </c>
      <c r="R17" s="115" t="s">
        <v>37</v>
      </c>
      <c r="S17" s="115"/>
      <c r="T17" s="115"/>
      <c r="U17" s="115"/>
      <c r="V17" s="115" t="s">
        <v>37</v>
      </c>
      <c r="W17" s="115"/>
      <c r="X17" s="115"/>
      <c r="Y17" s="115" t="s">
        <v>37</v>
      </c>
      <c r="Z17" s="115"/>
      <c r="AA17" s="115"/>
      <c r="AB17" s="115"/>
      <c r="AC17" s="115" t="s">
        <v>37</v>
      </c>
    </row>
    <row r="18" spans="1:29" s="114" customFormat="1" ht="22" customHeight="1" x14ac:dyDescent="0.2">
      <c r="A18" s="109" t="s">
        <v>74</v>
      </c>
      <c r="B18" s="121" t="s">
        <v>2</v>
      </c>
      <c r="C18" s="121" t="s">
        <v>3</v>
      </c>
      <c r="D18" s="109" t="s">
        <v>75</v>
      </c>
      <c r="E18" s="109" t="s">
        <v>66</v>
      </c>
      <c r="F18" s="111">
        <v>1.93287037037037E-3</v>
      </c>
      <c r="G18" s="109" t="s">
        <v>35</v>
      </c>
      <c r="H18" s="109"/>
      <c r="I18" s="109" t="s">
        <v>37</v>
      </c>
      <c r="J18" s="109" t="s">
        <v>76</v>
      </c>
      <c r="K18" s="109"/>
      <c r="L18" s="128">
        <f t="shared" si="0"/>
        <v>1</v>
      </c>
      <c r="M18" s="112"/>
      <c r="N18" s="112"/>
      <c r="O18" s="113"/>
      <c r="P18" s="109"/>
      <c r="Q18" s="109"/>
      <c r="R18" s="109"/>
      <c r="S18" s="109"/>
      <c r="T18" s="109"/>
      <c r="U18" s="109"/>
      <c r="V18" s="109"/>
      <c r="W18" s="109"/>
      <c r="X18" s="109"/>
      <c r="Y18" s="109" t="s">
        <v>37</v>
      </c>
      <c r="Z18" s="109"/>
      <c r="AA18" s="109"/>
      <c r="AB18" s="109"/>
      <c r="AC18" s="109"/>
    </row>
    <row r="19" spans="1:29" s="114" customFormat="1" ht="22" customHeight="1" x14ac:dyDescent="0.2">
      <c r="A19" s="115" t="s">
        <v>77</v>
      </c>
      <c r="B19" s="116" t="s">
        <v>2</v>
      </c>
      <c r="C19" s="116" t="s">
        <v>3</v>
      </c>
      <c r="D19" s="115" t="s">
        <v>78</v>
      </c>
      <c r="E19" s="115" t="s">
        <v>34</v>
      </c>
      <c r="F19" s="117">
        <v>2.430555555555556E-3</v>
      </c>
      <c r="G19" s="115" t="s">
        <v>40</v>
      </c>
      <c r="H19" s="115"/>
      <c r="I19" s="115" t="s">
        <v>37</v>
      </c>
      <c r="J19" s="115" t="s">
        <v>76</v>
      </c>
      <c r="K19" s="115"/>
      <c r="L19" s="128">
        <f t="shared" si="0"/>
        <v>8</v>
      </c>
      <c r="M19" s="118"/>
      <c r="N19" s="118"/>
      <c r="O19" s="115"/>
      <c r="P19" s="115"/>
      <c r="Q19" s="115"/>
      <c r="R19" s="115"/>
      <c r="S19" s="115"/>
      <c r="T19" s="115"/>
      <c r="U19" s="115" t="s">
        <v>37</v>
      </c>
      <c r="V19" s="115" t="s">
        <v>37</v>
      </c>
      <c r="W19" s="115" t="s">
        <v>37</v>
      </c>
      <c r="X19" s="115" t="s">
        <v>37</v>
      </c>
      <c r="Y19" s="115" t="s">
        <v>37</v>
      </c>
      <c r="Z19" s="115"/>
      <c r="AA19" s="115" t="s">
        <v>37</v>
      </c>
      <c r="AB19" s="115" t="s">
        <v>37</v>
      </c>
      <c r="AC19" s="115" t="s">
        <v>37</v>
      </c>
    </row>
    <row r="20" spans="1:29" s="114" customFormat="1" ht="22" customHeight="1" x14ac:dyDescent="0.2">
      <c r="A20" s="109" t="s">
        <v>79</v>
      </c>
      <c r="B20" s="121" t="s">
        <v>2</v>
      </c>
      <c r="C20" s="121" t="s">
        <v>3</v>
      </c>
      <c r="D20" s="109" t="s">
        <v>80</v>
      </c>
      <c r="E20" s="109" t="s">
        <v>34</v>
      </c>
      <c r="F20" s="111">
        <v>2.604166666666667E-3</v>
      </c>
      <c r="G20" s="109" t="s">
        <v>44</v>
      </c>
      <c r="H20" s="109"/>
      <c r="I20" s="109" t="s">
        <v>37</v>
      </c>
      <c r="J20" s="109" t="s">
        <v>63</v>
      </c>
      <c r="K20" s="109"/>
      <c r="L20" s="128">
        <f t="shared" si="0"/>
        <v>5</v>
      </c>
      <c r="M20" s="112"/>
      <c r="N20" s="112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 t="s">
        <v>37</v>
      </c>
      <c r="Z20" s="109" t="s">
        <v>37</v>
      </c>
      <c r="AA20" s="109" t="s">
        <v>37</v>
      </c>
      <c r="AB20" s="109" t="s">
        <v>37</v>
      </c>
      <c r="AC20" s="109" t="s">
        <v>37</v>
      </c>
    </row>
    <row r="21" spans="1:29" s="114" customFormat="1" ht="22" customHeight="1" x14ac:dyDescent="0.2">
      <c r="A21" s="115" t="s">
        <v>81</v>
      </c>
      <c r="B21" s="116" t="s">
        <v>2</v>
      </c>
      <c r="C21" s="116" t="s">
        <v>3</v>
      </c>
      <c r="D21" s="115" t="s">
        <v>82</v>
      </c>
      <c r="E21" s="115" t="s">
        <v>34</v>
      </c>
      <c r="F21" s="117">
        <v>4.6874999999999998E-3</v>
      </c>
      <c r="G21" s="115" t="s">
        <v>35</v>
      </c>
      <c r="H21" s="115"/>
      <c r="I21" s="115" t="s">
        <v>37</v>
      </c>
      <c r="J21" s="115" t="s">
        <v>41</v>
      </c>
      <c r="K21" s="115"/>
      <c r="L21" s="128">
        <f t="shared" si="0"/>
        <v>9</v>
      </c>
      <c r="M21" s="118" t="s">
        <v>37</v>
      </c>
      <c r="N21" s="118" t="s">
        <v>37</v>
      </c>
      <c r="O21" s="119"/>
      <c r="P21" s="115" t="s">
        <v>37</v>
      </c>
      <c r="Q21" s="115" t="s">
        <v>37</v>
      </c>
      <c r="R21" s="115" t="s">
        <v>37</v>
      </c>
      <c r="S21" s="115"/>
      <c r="T21" s="115"/>
      <c r="U21" s="115" t="s">
        <v>37</v>
      </c>
      <c r="V21" s="115" t="s">
        <v>37</v>
      </c>
      <c r="W21" s="115"/>
      <c r="X21" s="115"/>
      <c r="Y21" s="115" t="s">
        <v>37</v>
      </c>
      <c r="Z21" s="115"/>
      <c r="AA21" s="115"/>
      <c r="AB21" s="115"/>
      <c r="AC21" s="115" t="s">
        <v>37</v>
      </c>
    </row>
    <row r="22" spans="1:29" s="114" customFormat="1" ht="22" customHeight="1" x14ac:dyDescent="0.2">
      <c r="A22" s="109" t="s">
        <v>83</v>
      </c>
      <c r="B22" s="121" t="s">
        <v>2</v>
      </c>
      <c r="C22" s="121" t="s">
        <v>3</v>
      </c>
      <c r="D22" s="109" t="s">
        <v>84</v>
      </c>
      <c r="E22" s="109" t="s">
        <v>34</v>
      </c>
      <c r="F22" s="111">
        <v>2.5115740740740741E-3</v>
      </c>
      <c r="G22" s="109" t="s">
        <v>40</v>
      </c>
      <c r="H22" s="109"/>
      <c r="I22" s="109"/>
      <c r="J22" s="109" t="s">
        <v>50</v>
      </c>
      <c r="K22" s="109"/>
      <c r="L22" s="128">
        <f t="shared" si="0"/>
        <v>1</v>
      </c>
      <c r="M22" s="112"/>
      <c r="N22" s="112"/>
      <c r="O22" s="113"/>
      <c r="P22" s="109"/>
      <c r="Q22" s="109"/>
      <c r="R22" s="109" t="s">
        <v>37</v>
      </c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</row>
    <row r="23" spans="1:29" s="114" customFormat="1" ht="22" customHeight="1" x14ac:dyDescent="0.2">
      <c r="A23" s="115" t="s">
        <v>85</v>
      </c>
      <c r="B23" s="116" t="s">
        <v>2</v>
      </c>
      <c r="C23" s="116" t="s">
        <v>3</v>
      </c>
      <c r="D23" s="115" t="s">
        <v>86</v>
      </c>
      <c r="E23" s="115" t="s">
        <v>34</v>
      </c>
      <c r="F23" s="117">
        <v>2.5810185185185189E-3</v>
      </c>
      <c r="G23" s="115" t="s">
        <v>35</v>
      </c>
      <c r="H23" s="115"/>
      <c r="I23" s="115" t="s">
        <v>37</v>
      </c>
      <c r="J23" s="115" t="s">
        <v>63</v>
      </c>
      <c r="K23" s="115"/>
      <c r="L23" s="128">
        <f t="shared" si="0"/>
        <v>16</v>
      </c>
      <c r="M23" s="118" t="s">
        <v>37</v>
      </c>
      <c r="N23" s="118" t="s">
        <v>37</v>
      </c>
      <c r="O23" s="115" t="s">
        <v>37</v>
      </c>
      <c r="P23" s="115" t="s">
        <v>37</v>
      </c>
      <c r="Q23" s="115" t="s">
        <v>37</v>
      </c>
      <c r="R23" s="115" t="s">
        <v>37</v>
      </c>
      <c r="S23" s="115" t="s">
        <v>37</v>
      </c>
      <c r="T23" s="115" t="s">
        <v>37</v>
      </c>
      <c r="U23" s="115" t="s">
        <v>37</v>
      </c>
      <c r="V23" s="115" t="s">
        <v>37</v>
      </c>
      <c r="W23" s="115" t="s">
        <v>37</v>
      </c>
      <c r="X23" s="115"/>
      <c r="Y23" s="115" t="s">
        <v>37</v>
      </c>
      <c r="Z23" s="115" t="s">
        <v>37</v>
      </c>
      <c r="AA23" s="115" t="s">
        <v>37</v>
      </c>
      <c r="AB23" s="115" t="s">
        <v>37</v>
      </c>
      <c r="AC23" s="115" t="s">
        <v>37</v>
      </c>
    </row>
    <row r="24" spans="1:29" s="114" customFormat="1" ht="22" customHeight="1" x14ac:dyDescent="0.2">
      <c r="A24" s="109" t="s">
        <v>87</v>
      </c>
      <c r="B24" s="110" t="s">
        <v>2</v>
      </c>
      <c r="C24" s="121" t="s">
        <v>3</v>
      </c>
      <c r="D24" s="109" t="s">
        <v>88</v>
      </c>
      <c r="E24" s="109" t="s">
        <v>34</v>
      </c>
      <c r="F24" s="111">
        <v>2.604166666666667E-3</v>
      </c>
      <c r="G24" s="109" t="s">
        <v>35</v>
      </c>
      <c r="H24" s="109"/>
      <c r="I24" s="109" t="s">
        <v>37</v>
      </c>
      <c r="J24" s="109" t="s">
        <v>41</v>
      </c>
      <c r="K24" s="109"/>
      <c r="L24" s="128">
        <f t="shared" si="0"/>
        <v>8</v>
      </c>
      <c r="M24" s="112"/>
      <c r="N24" s="112"/>
      <c r="O24" s="113"/>
      <c r="P24" s="109"/>
      <c r="Q24" s="109" t="s">
        <v>37</v>
      </c>
      <c r="R24" s="109" t="s">
        <v>37</v>
      </c>
      <c r="S24" s="109" t="s">
        <v>37</v>
      </c>
      <c r="T24" s="109" t="s">
        <v>37</v>
      </c>
      <c r="U24" s="109" t="s">
        <v>37</v>
      </c>
      <c r="V24" s="109" t="s">
        <v>37</v>
      </c>
      <c r="W24" s="109" t="s">
        <v>37</v>
      </c>
      <c r="X24" s="109"/>
      <c r="Y24" s="109" t="s">
        <v>37</v>
      </c>
      <c r="Z24" s="109"/>
      <c r="AA24" s="109"/>
      <c r="AB24" s="109"/>
      <c r="AC24" s="109"/>
    </row>
    <row r="25" spans="1:29" s="114" customFormat="1" ht="22" customHeight="1" x14ac:dyDescent="0.2">
      <c r="A25" s="115" t="s">
        <v>89</v>
      </c>
      <c r="B25" s="116" t="s">
        <v>2</v>
      </c>
      <c r="C25" s="123" t="s">
        <v>90</v>
      </c>
      <c r="D25" s="115" t="s">
        <v>91</v>
      </c>
      <c r="E25" s="115" t="s">
        <v>34</v>
      </c>
      <c r="F25" s="117">
        <v>3.8541666666666672E-3</v>
      </c>
      <c r="G25" s="115" t="s">
        <v>44</v>
      </c>
      <c r="H25" s="115"/>
      <c r="I25" s="115" t="s">
        <v>37</v>
      </c>
      <c r="J25" s="115" t="s">
        <v>92</v>
      </c>
      <c r="K25" s="115"/>
      <c r="L25" s="128">
        <f t="shared" si="0"/>
        <v>8</v>
      </c>
      <c r="M25" s="118"/>
      <c r="N25" s="118"/>
      <c r="O25" s="115" t="s">
        <v>37</v>
      </c>
      <c r="P25" s="115"/>
      <c r="Q25" s="115" t="s">
        <v>37</v>
      </c>
      <c r="R25" s="115" t="s">
        <v>37</v>
      </c>
      <c r="S25" s="115" t="s">
        <v>37</v>
      </c>
      <c r="T25" s="115"/>
      <c r="U25" s="115" t="s">
        <v>37</v>
      </c>
      <c r="V25" s="115" t="s">
        <v>37</v>
      </c>
      <c r="W25" s="115"/>
      <c r="X25" s="115"/>
      <c r="Y25" s="115" t="s">
        <v>37</v>
      </c>
      <c r="Z25" s="115"/>
      <c r="AA25" s="115"/>
      <c r="AB25" s="115" t="s">
        <v>37</v>
      </c>
      <c r="AC25" s="115"/>
    </row>
    <row r="26" spans="1:29" s="114" customFormat="1" ht="22" customHeight="1" x14ac:dyDescent="0.2">
      <c r="A26" s="109" t="s">
        <v>93</v>
      </c>
      <c r="B26" s="121" t="s">
        <v>2</v>
      </c>
      <c r="C26" s="121" t="s">
        <v>3</v>
      </c>
      <c r="D26" s="109" t="s">
        <v>94</v>
      </c>
      <c r="E26" s="109" t="s">
        <v>34</v>
      </c>
      <c r="F26" s="111">
        <v>1.9791666666666668E-3</v>
      </c>
      <c r="G26" s="109" t="s">
        <v>55</v>
      </c>
      <c r="H26" s="109" t="s">
        <v>37</v>
      </c>
      <c r="I26" s="109" t="s">
        <v>37</v>
      </c>
      <c r="J26" s="109" t="s">
        <v>45</v>
      </c>
      <c r="K26" s="109"/>
      <c r="L26" s="128">
        <f t="shared" si="0"/>
        <v>10</v>
      </c>
      <c r="M26" s="112"/>
      <c r="N26" s="112"/>
      <c r="O26" s="113" t="s">
        <v>37</v>
      </c>
      <c r="P26" s="113" t="s">
        <v>37</v>
      </c>
      <c r="Q26" s="109" t="s">
        <v>37</v>
      </c>
      <c r="R26" s="109" t="s">
        <v>37</v>
      </c>
      <c r="S26" s="109" t="s">
        <v>37</v>
      </c>
      <c r="T26" s="109"/>
      <c r="U26" s="109" t="s">
        <v>37</v>
      </c>
      <c r="V26" s="109" t="s">
        <v>37</v>
      </c>
      <c r="W26" s="109"/>
      <c r="X26" s="109"/>
      <c r="Y26" s="109" t="s">
        <v>37</v>
      </c>
      <c r="Z26" s="109" t="s">
        <v>37</v>
      </c>
      <c r="AA26" s="109"/>
      <c r="AB26" s="109"/>
      <c r="AC26" s="109" t="s">
        <v>37</v>
      </c>
    </row>
    <row r="27" spans="1:29" s="114" customFormat="1" ht="22" customHeight="1" x14ac:dyDescent="0.2">
      <c r="A27" s="115" t="s">
        <v>95</v>
      </c>
      <c r="B27" s="116" t="s">
        <v>2</v>
      </c>
      <c r="C27" s="116" t="s">
        <v>3</v>
      </c>
      <c r="D27" s="115" t="s">
        <v>96</v>
      </c>
      <c r="E27" s="115" t="s">
        <v>34</v>
      </c>
      <c r="F27" s="117">
        <v>2.650462962962963E-3</v>
      </c>
      <c r="G27" s="115" t="s">
        <v>40</v>
      </c>
      <c r="H27" s="115"/>
      <c r="I27" s="115" t="s">
        <v>37</v>
      </c>
      <c r="J27" s="115" t="s">
        <v>41</v>
      </c>
      <c r="K27" s="115"/>
      <c r="L27" s="128">
        <f t="shared" si="0"/>
        <v>1</v>
      </c>
      <c r="M27" s="118"/>
      <c r="N27" s="118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 t="s">
        <v>37</v>
      </c>
    </row>
    <row r="28" spans="1:29" s="114" customFormat="1" ht="22" customHeight="1" x14ac:dyDescent="0.2">
      <c r="A28" s="109" t="s">
        <v>97</v>
      </c>
      <c r="B28" s="121" t="s">
        <v>2</v>
      </c>
      <c r="C28" s="121" t="s">
        <v>3</v>
      </c>
      <c r="D28" s="109" t="s">
        <v>58</v>
      </c>
      <c r="E28" s="109" t="s">
        <v>34</v>
      </c>
      <c r="F28" s="111">
        <v>3.0439814814814808E-3</v>
      </c>
      <c r="G28" s="109" t="s">
        <v>55</v>
      </c>
      <c r="H28" s="109" t="s">
        <v>37</v>
      </c>
      <c r="I28" s="109" t="s">
        <v>37</v>
      </c>
      <c r="J28" s="109" t="s">
        <v>36</v>
      </c>
      <c r="K28" s="109"/>
      <c r="L28" s="128">
        <f t="shared" si="0"/>
        <v>2</v>
      </c>
      <c r="M28" s="112"/>
      <c r="N28" s="112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 t="s">
        <v>37</v>
      </c>
      <c r="Z28" s="109"/>
      <c r="AA28" s="109"/>
      <c r="AB28" s="109"/>
      <c r="AC28" s="109" t="s">
        <v>37</v>
      </c>
    </row>
    <row r="29" spans="1:29" s="114" customFormat="1" ht="22" customHeight="1" x14ac:dyDescent="0.2">
      <c r="A29" s="115" t="s">
        <v>98</v>
      </c>
      <c r="B29" s="116" t="s">
        <v>2</v>
      </c>
      <c r="C29" s="116" t="s">
        <v>3</v>
      </c>
      <c r="D29" s="115" t="s">
        <v>99</v>
      </c>
      <c r="E29" s="115" t="s">
        <v>34</v>
      </c>
      <c r="F29" s="117">
        <v>2.8587962962962959E-3</v>
      </c>
      <c r="G29" s="115" t="s">
        <v>44</v>
      </c>
      <c r="H29" s="115"/>
      <c r="I29" s="115" t="s">
        <v>37</v>
      </c>
      <c r="J29" s="115" t="s">
        <v>63</v>
      </c>
      <c r="K29" s="115"/>
      <c r="L29" s="128">
        <f t="shared" si="0"/>
        <v>5</v>
      </c>
      <c r="M29" s="118"/>
      <c r="N29" s="118"/>
      <c r="O29" s="115"/>
      <c r="P29" s="115"/>
      <c r="Q29" s="115"/>
      <c r="R29" s="115"/>
      <c r="S29" s="115"/>
      <c r="T29" s="115"/>
      <c r="U29" s="115"/>
      <c r="V29" s="115"/>
      <c r="W29" s="115"/>
      <c r="X29" s="115" t="s">
        <v>37</v>
      </c>
      <c r="Y29" s="115" t="s">
        <v>37</v>
      </c>
      <c r="Z29" s="115"/>
      <c r="AA29" s="115" t="s">
        <v>37</v>
      </c>
      <c r="AB29" s="115" t="s">
        <v>37</v>
      </c>
      <c r="AC29" s="115" t="s">
        <v>37</v>
      </c>
    </row>
    <row r="30" spans="1:29" s="114" customFormat="1" ht="22" customHeight="1" x14ac:dyDescent="0.2">
      <c r="A30" s="109" t="s">
        <v>100</v>
      </c>
      <c r="B30" s="121" t="s">
        <v>2</v>
      </c>
      <c r="C30" s="121" t="s">
        <v>3</v>
      </c>
      <c r="D30" s="109" t="s">
        <v>101</v>
      </c>
      <c r="E30" s="109" t="s">
        <v>34</v>
      </c>
      <c r="F30" s="111">
        <v>2.0486111111111109E-3</v>
      </c>
      <c r="G30" s="109" t="s">
        <v>44</v>
      </c>
      <c r="H30" s="109"/>
      <c r="I30" s="109" t="s">
        <v>37</v>
      </c>
      <c r="J30" s="109" t="s">
        <v>41</v>
      </c>
      <c r="K30" s="109"/>
      <c r="L30" s="128">
        <f t="shared" si="0"/>
        <v>12</v>
      </c>
      <c r="M30" s="112"/>
      <c r="N30" s="112" t="s">
        <v>37</v>
      </c>
      <c r="O30" s="113" t="s">
        <v>37</v>
      </c>
      <c r="P30" s="109" t="s">
        <v>37</v>
      </c>
      <c r="Q30" s="109" t="s">
        <v>37</v>
      </c>
      <c r="R30" s="109" t="s">
        <v>37</v>
      </c>
      <c r="S30" s="109" t="s">
        <v>37</v>
      </c>
      <c r="T30" s="109" t="s">
        <v>37</v>
      </c>
      <c r="U30" s="109" t="s">
        <v>37</v>
      </c>
      <c r="V30" s="109" t="s">
        <v>37</v>
      </c>
      <c r="W30" s="109"/>
      <c r="X30" s="109" t="s">
        <v>37</v>
      </c>
      <c r="Y30" s="109" t="s">
        <v>37</v>
      </c>
      <c r="Z30" s="109"/>
      <c r="AA30" s="109"/>
      <c r="AB30" s="109"/>
      <c r="AC30" s="109" t="s">
        <v>37</v>
      </c>
    </row>
    <row r="31" spans="1:29" s="114" customFormat="1" ht="22" customHeight="1" x14ac:dyDescent="0.2">
      <c r="A31" s="115" t="s">
        <v>102</v>
      </c>
      <c r="B31" s="116" t="s">
        <v>2</v>
      </c>
      <c r="C31" s="116" t="s">
        <v>3</v>
      </c>
      <c r="D31" s="115" t="s">
        <v>103</v>
      </c>
      <c r="E31" s="115" t="s">
        <v>34</v>
      </c>
      <c r="F31" s="117">
        <v>3.5995370370370369E-3</v>
      </c>
      <c r="G31" s="115" t="s">
        <v>35</v>
      </c>
      <c r="H31" s="115"/>
      <c r="I31" s="115" t="s">
        <v>37</v>
      </c>
      <c r="J31" s="115" t="s">
        <v>41</v>
      </c>
      <c r="K31" s="115"/>
      <c r="L31" s="128">
        <f t="shared" si="0"/>
        <v>15</v>
      </c>
      <c r="M31" s="118"/>
      <c r="N31" s="118"/>
      <c r="O31" s="115" t="s">
        <v>37</v>
      </c>
      <c r="P31" s="115" t="s">
        <v>37</v>
      </c>
      <c r="Q31" s="115" t="s">
        <v>37</v>
      </c>
      <c r="R31" s="115" t="s">
        <v>37</v>
      </c>
      <c r="S31" s="115" t="s">
        <v>37</v>
      </c>
      <c r="T31" s="115" t="s">
        <v>37</v>
      </c>
      <c r="U31" s="115" t="s">
        <v>37</v>
      </c>
      <c r="V31" s="115" t="s">
        <v>37</v>
      </c>
      <c r="W31" s="115" t="s">
        <v>37</v>
      </c>
      <c r="X31" s="115" t="s">
        <v>37</v>
      </c>
      <c r="Y31" s="115" t="s">
        <v>37</v>
      </c>
      <c r="Z31" s="115" t="s">
        <v>37</v>
      </c>
      <c r="AA31" s="115" t="s">
        <v>37</v>
      </c>
      <c r="AB31" s="115" t="s">
        <v>37</v>
      </c>
      <c r="AC31" s="115" t="s">
        <v>37</v>
      </c>
    </row>
    <row r="32" spans="1:29" s="114" customFormat="1" ht="22" customHeight="1" x14ac:dyDescent="0.2">
      <c r="A32" s="109" t="s">
        <v>104</v>
      </c>
      <c r="B32" s="121" t="s">
        <v>2</v>
      </c>
      <c r="C32" s="121" t="s">
        <v>3</v>
      </c>
      <c r="D32" s="109" t="s">
        <v>49</v>
      </c>
      <c r="E32" s="109" t="s">
        <v>34</v>
      </c>
      <c r="F32" s="111">
        <v>1.967592592592592E-3</v>
      </c>
      <c r="G32" s="109" t="s">
        <v>55</v>
      </c>
      <c r="H32" s="109" t="s">
        <v>37</v>
      </c>
      <c r="I32" s="109"/>
      <c r="J32" s="109" t="s">
        <v>50</v>
      </c>
      <c r="K32" s="109"/>
      <c r="L32" s="128">
        <f t="shared" si="0"/>
        <v>2</v>
      </c>
      <c r="M32" s="112" t="s">
        <v>37</v>
      </c>
      <c r="N32" s="112"/>
      <c r="O32" s="113"/>
      <c r="P32" s="109"/>
      <c r="Q32" s="109"/>
      <c r="R32" s="109" t="s">
        <v>37</v>
      </c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</row>
    <row r="33" spans="1:29" s="114" customFormat="1" ht="22" customHeight="1" x14ac:dyDescent="0.2">
      <c r="A33" s="115" t="s">
        <v>105</v>
      </c>
      <c r="B33" s="116" t="s">
        <v>2</v>
      </c>
      <c r="C33" s="116" t="s">
        <v>3</v>
      </c>
      <c r="D33" s="115" t="s">
        <v>106</v>
      </c>
      <c r="E33" s="115" t="s">
        <v>34</v>
      </c>
      <c r="F33" s="117">
        <v>3.2291666666666671E-3</v>
      </c>
      <c r="G33" s="115" t="s">
        <v>40</v>
      </c>
      <c r="H33" s="115"/>
      <c r="I33" s="115" t="s">
        <v>37</v>
      </c>
      <c r="J33" s="115" t="s">
        <v>41</v>
      </c>
      <c r="K33" s="115"/>
      <c r="L33" s="128">
        <f t="shared" si="0"/>
        <v>7</v>
      </c>
      <c r="M33" s="118"/>
      <c r="N33" s="118"/>
      <c r="O33" s="119" t="s">
        <v>37</v>
      </c>
      <c r="P33" s="115" t="s">
        <v>37</v>
      </c>
      <c r="Q33" s="115" t="s">
        <v>37</v>
      </c>
      <c r="R33" s="115" t="s">
        <v>37</v>
      </c>
      <c r="S33" s="115"/>
      <c r="T33" s="115"/>
      <c r="U33" s="115"/>
      <c r="V33" s="115" t="s">
        <v>37</v>
      </c>
      <c r="W33" s="115"/>
      <c r="X33" s="115"/>
      <c r="Y33" s="115" t="s">
        <v>37</v>
      </c>
      <c r="Z33" s="115"/>
      <c r="AA33" s="115"/>
      <c r="AB33" s="115"/>
      <c r="AC33" s="115" t="s">
        <v>37</v>
      </c>
    </row>
    <row r="34" spans="1:29" s="114" customFormat="1" ht="22" customHeight="1" x14ac:dyDescent="0.2">
      <c r="A34" s="109" t="s">
        <v>107</v>
      </c>
      <c r="B34" s="121" t="s">
        <v>2</v>
      </c>
      <c r="C34" s="121" t="s">
        <v>3</v>
      </c>
      <c r="D34" s="109" t="s">
        <v>108</v>
      </c>
      <c r="E34" s="109" t="s">
        <v>66</v>
      </c>
      <c r="F34" s="111">
        <v>2.9513888888888888E-3</v>
      </c>
      <c r="G34" s="109" t="s">
        <v>35</v>
      </c>
      <c r="H34" s="109"/>
      <c r="I34" s="109" t="s">
        <v>37</v>
      </c>
      <c r="J34" s="109" t="s">
        <v>76</v>
      </c>
      <c r="K34" s="109"/>
      <c r="L34" s="128">
        <f t="shared" si="0"/>
        <v>12</v>
      </c>
      <c r="M34" s="112"/>
      <c r="N34" s="112"/>
      <c r="O34" s="109"/>
      <c r="P34" s="109"/>
      <c r="Q34" s="109"/>
      <c r="R34" s="109" t="s">
        <v>37</v>
      </c>
      <c r="S34" s="109" t="s">
        <v>37</v>
      </c>
      <c r="T34" s="109" t="s">
        <v>37</v>
      </c>
      <c r="U34" s="109" t="s">
        <v>37</v>
      </c>
      <c r="V34" s="109" t="s">
        <v>37</v>
      </c>
      <c r="W34" s="109" t="s">
        <v>37</v>
      </c>
      <c r="X34" s="109" t="s">
        <v>37</v>
      </c>
      <c r="Y34" s="109" t="s">
        <v>37</v>
      </c>
      <c r="Z34" s="109" t="s">
        <v>37</v>
      </c>
      <c r="AA34" s="109" t="s">
        <v>37</v>
      </c>
      <c r="AB34" s="109" t="s">
        <v>37</v>
      </c>
      <c r="AC34" s="109" t="s">
        <v>37</v>
      </c>
    </row>
    <row r="35" spans="1:29" s="114" customFormat="1" ht="22" customHeight="1" x14ac:dyDescent="0.2">
      <c r="A35" s="115" t="s">
        <v>109</v>
      </c>
      <c r="B35" s="116" t="s">
        <v>2</v>
      </c>
      <c r="C35" s="116" t="s">
        <v>3</v>
      </c>
      <c r="D35" s="115" t="s">
        <v>110</v>
      </c>
      <c r="E35" s="115" t="s">
        <v>34</v>
      </c>
      <c r="F35" s="117">
        <v>4.1319444444444442E-3</v>
      </c>
      <c r="G35" s="115" t="s">
        <v>40</v>
      </c>
      <c r="H35" s="115"/>
      <c r="I35" s="115"/>
      <c r="J35" s="115" t="s">
        <v>41</v>
      </c>
      <c r="K35" s="115"/>
      <c r="L35" s="128">
        <f t="shared" si="0"/>
        <v>8</v>
      </c>
      <c r="M35" s="118"/>
      <c r="N35" s="118" t="s">
        <v>37</v>
      </c>
      <c r="O35" s="119" t="s">
        <v>37</v>
      </c>
      <c r="P35" s="115"/>
      <c r="Q35" s="115" t="s">
        <v>37</v>
      </c>
      <c r="R35" s="115" t="s">
        <v>37</v>
      </c>
      <c r="S35" s="115"/>
      <c r="T35" s="115"/>
      <c r="U35" s="115" t="s">
        <v>37</v>
      </c>
      <c r="V35" s="115" t="s">
        <v>37</v>
      </c>
      <c r="W35" s="115" t="s">
        <v>37</v>
      </c>
      <c r="X35" s="115"/>
      <c r="Y35" s="115" t="s">
        <v>37</v>
      </c>
      <c r="Z35" s="115"/>
      <c r="AA35" s="115"/>
      <c r="AB35" s="115"/>
      <c r="AC35" s="115"/>
    </row>
    <row r="36" spans="1:29" s="114" customFormat="1" ht="22" customHeight="1" x14ac:dyDescent="0.2">
      <c r="A36" s="109" t="s">
        <v>111</v>
      </c>
      <c r="B36" s="121" t="s">
        <v>2</v>
      </c>
      <c r="C36" s="121" t="s">
        <v>3</v>
      </c>
      <c r="D36" s="109" t="s">
        <v>60</v>
      </c>
      <c r="E36" s="109" t="s">
        <v>34</v>
      </c>
      <c r="F36" s="111">
        <v>5.9606481481481481E-3</v>
      </c>
      <c r="G36" s="109" t="s">
        <v>40</v>
      </c>
      <c r="H36" s="109"/>
      <c r="I36" s="109" t="s">
        <v>37</v>
      </c>
      <c r="J36" s="109" t="s">
        <v>63</v>
      </c>
      <c r="K36" s="109"/>
      <c r="L36" s="128">
        <f t="shared" si="0"/>
        <v>9</v>
      </c>
      <c r="M36" s="112"/>
      <c r="N36" s="112" t="s">
        <v>37</v>
      </c>
      <c r="O36" s="113" t="s">
        <v>37</v>
      </c>
      <c r="P36" s="109"/>
      <c r="Q36" s="109" t="s">
        <v>37</v>
      </c>
      <c r="R36" s="109" t="s">
        <v>37</v>
      </c>
      <c r="S36" s="109"/>
      <c r="T36" s="109" t="s">
        <v>37</v>
      </c>
      <c r="U36" s="109" t="s">
        <v>37</v>
      </c>
      <c r="V36" s="109" t="s">
        <v>37</v>
      </c>
      <c r="W36" s="109"/>
      <c r="X36" s="109"/>
      <c r="Y36" s="109" t="s">
        <v>37</v>
      </c>
      <c r="Z36" s="109"/>
      <c r="AA36" s="109"/>
      <c r="AB36" s="109"/>
      <c r="AC36" s="109" t="s">
        <v>37</v>
      </c>
    </row>
    <row r="37" spans="1:29" s="114" customFormat="1" ht="22" customHeight="1" x14ac:dyDescent="0.2">
      <c r="A37" s="115" t="s">
        <v>112</v>
      </c>
      <c r="B37" s="116" t="s">
        <v>2</v>
      </c>
      <c r="C37" s="116" t="s">
        <v>3</v>
      </c>
      <c r="D37" s="115" t="s">
        <v>113</v>
      </c>
      <c r="E37" s="115" t="s">
        <v>34</v>
      </c>
      <c r="F37" s="117">
        <v>2.430555555555556E-3</v>
      </c>
      <c r="G37" s="115" t="s">
        <v>44</v>
      </c>
      <c r="H37" s="115"/>
      <c r="I37" s="115"/>
      <c r="J37" s="115" t="s">
        <v>36</v>
      </c>
      <c r="K37" s="115"/>
      <c r="L37" s="128">
        <f t="shared" si="0"/>
        <v>4</v>
      </c>
      <c r="M37" s="118"/>
      <c r="N37" s="118" t="s">
        <v>37</v>
      </c>
      <c r="O37" s="119"/>
      <c r="P37" s="115"/>
      <c r="Q37" s="115" t="s">
        <v>37</v>
      </c>
      <c r="R37" s="115" t="s">
        <v>37</v>
      </c>
      <c r="S37" s="115"/>
      <c r="T37" s="115"/>
      <c r="U37" s="115"/>
      <c r="V37" s="115"/>
      <c r="W37" s="115"/>
      <c r="X37" s="115"/>
      <c r="Y37" s="115"/>
      <c r="Z37" s="115"/>
      <c r="AA37" s="115" t="s">
        <v>37</v>
      </c>
      <c r="AB37" s="115"/>
      <c r="AC37" s="115"/>
    </row>
    <row r="38" spans="1:29" s="114" customFormat="1" ht="22" customHeight="1" x14ac:dyDescent="0.2">
      <c r="A38" s="109" t="s">
        <v>114</v>
      </c>
      <c r="B38" s="121" t="s">
        <v>2</v>
      </c>
      <c r="C38" s="121" t="s">
        <v>3</v>
      </c>
      <c r="D38" s="109" t="s">
        <v>115</v>
      </c>
      <c r="E38" s="109" t="s">
        <v>66</v>
      </c>
      <c r="F38" s="111">
        <v>3.368055555555556E-3</v>
      </c>
      <c r="G38" s="109" t="s">
        <v>44</v>
      </c>
      <c r="H38" s="109"/>
      <c r="I38" s="109" t="s">
        <v>37</v>
      </c>
      <c r="J38" s="109" t="s">
        <v>63</v>
      </c>
      <c r="K38" s="109"/>
      <c r="L38" s="128">
        <f t="shared" si="0"/>
        <v>9</v>
      </c>
      <c r="M38" s="112"/>
      <c r="N38" s="112"/>
      <c r="O38" s="109"/>
      <c r="P38" s="109"/>
      <c r="Q38" s="109"/>
      <c r="R38" s="109"/>
      <c r="S38" s="109"/>
      <c r="T38" s="109" t="s">
        <v>37</v>
      </c>
      <c r="U38" s="109" t="s">
        <v>37</v>
      </c>
      <c r="V38" s="109" t="s">
        <v>37</v>
      </c>
      <c r="W38" s="109" t="s">
        <v>37</v>
      </c>
      <c r="X38" s="109" t="s">
        <v>37</v>
      </c>
      <c r="Y38" s="109" t="s">
        <v>37</v>
      </c>
      <c r="Z38" s="109"/>
      <c r="AA38" s="109" t="s">
        <v>37</v>
      </c>
      <c r="AB38" s="109" t="s">
        <v>37</v>
      </c>
      <c r="AC38" s="109" t="s">
        <v>37</v>
      </c>
    </row>
    <row r="39" spans="1:29" s="114" customFormat="1" ht="22" customHeight="1" x14ac:dyDescent="0.2">
      <c r="A39" s="115" t="s">
        <v>116</v>
      </c>
      <c r="B39" s="116" t="s">
        <v>2</v>
      </c>
      <c r="C39" s="116" t="s">
        <v>3</v>
      </c>
      <c r="D39" s="115" t="s">
        <v>117</v>
      </c>
      <c r="E39" s="115" t="s">
        <v>34</v>
      </c>
      <c r="F39" s="117">
        <v>2.604166666666667E-3</v>
      </c>
      <c r="G39" s="115" t="s">
        <v>44</v>
      </c>
      <c r="H39" s="115"/>
      <c r="I39" s="115" t="s">
        <v>37</v>
      </c>
      <c r="J39" s="115" t="s">
        <v>36</v>
      </c>
      <c r="K39" s="115"/>
      <c r="L39" s="128">
        <f t="shared" si="0"/>
        <v>5</v>
      </c>
      <c r="M39" s="118"/>
      <c r="N39" s="118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 t="s">
        <v>37</v>
      </c>
      <c r="Z39" s="115" t="s">
        <v>37</v>
      </c>
      <c r="AA39" s="115" t="s">
        <v>37</v>
      </c>
      <c r="AB39" s="115" t="s">
        <v>37</v>
      </c>
      <c r="AC39" s="115" t="s">
        <v>37</v>
      </c>
    </row>
    <row r="40" spans="1:29" s="114" customFormat="1" ht="22" customHeight="1" x14ac:dyDescent="0.2">
      <c r="A40" s="109" t="s">
        <v>118</v>
      </c>
      <c r="B40" s="121" t="s">
        <v>2</v>
      </c>
      <c r="C40" s="121" t="s">
        <v>3</v>
      </c>
      <c r="D40" s="109" t="s">
        <v>119</v>
      </c>
      <c r="E40" s="109" t="s">
        <v>34</v>
      </c>
      <c r="F40" s="111">
        <v>3.472222222222222E-3</v>
      </c>
      <c r="G40" s="109" t="s">
        <v>120</v>
      </c>
      <c r="H40" s="109"/>
      <c r="I40" s="109"/>
      <c r="J40" s="109" t="s">
        <v>50</v>
      </c>
      <c r="K40" s="109"/>
      <c r="L40" s="128">
        <f t="shared" si="0"/>
        <v>2</v>
      </c>
      <c r="M40" s="112"/>
      <c r="N40" s="112"/>
      <c r="O40" s="113"/>
      <c r="P40" s="109"/>
      <c r="Q40" s="109" t="s">
        <v>37</v>
      </c>
      <c r="R40" s="109" t="s">
        <v>37</v>
      </c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</row>
    <row r="41" spans="1:29" s="114" customFormat="1" ht="22" customHeight="1" x14ac:dyDescent="0.2">
      <c r="A41" s="115" t="s">
        <v>121</v>
      </c>
      <c r="B41" s="116" t="s">
        <v>2</v>
      </c>
      <c r="C41" s="116" t="s">
        <v>3</v>
      </c>
      <c r="D41" s="115" t="s">
        <v>106</v>
      </c>
      <c r="E41" s="115" t="s">
        <v>34</v>
      </c>
      <c r="F41" s="117">
        <v>2.0023148148148148E-3</v>
      </c>
      <c r="G41" s="115" t="s">
        <v>40</v>
      </c>
      <c r="H41" s="115"/>
      <c r="I41" s="115"/>
      <c r="J41" s="115" t="s">
        <v>41</v>
      </c>
      <c r="K41" s="115"/>
      <c r="L41" s="128">
        <f t="shared" si="0"/>
        <v>1</v>
      </c>
      <c r="M41" s="118"/>
      <c r="N41" s="118"/>
      <c r="O41" s="119"/>
      <c r="P41" s="115"/>
      <c r="Q41" s="115"/>
      <c r="R41" s="115"/>
      <c r="S41" s="115"/>
      <c r="T41" s="115"/>
      <c r="U41" s="115"/>
      <c r="V41" s="115"/>
      <c r="W41" s="115"/>
      <c r="X41" s="115" t="s">
        <v>37</v>
      </c>
      <c r="Y41" s="115"/>
      <c r="Z41" s="115"/>
      <c r="AA41" s="115"/>
      <c r="AB41" s="115"/>
      <c r="AC41" s="115"/>
    </row>
    <row r="42" spans="1:29" s="114" customFormat="1" ht="22" customHeight="1" x14ac:dyDescent="0.2">
      <c r="A42" s="109" t="s">
        <v>122</v>
      </c>
      <c r="B42" s="121" t="s">
        <v>2</v>
      </c>
      <c r="C42" s="121" t="s">
        <v>3</v>
      </c>
      <c r="D42" s="109" t="s">
        <v>123</v>
      </c>
      <c r="E42" s="109" t="s">
        <v>34</v>
      </c>
      <c r="F42" s="111">
        <v>3.460648148148148E-3</v>
      </c>
      <c r="G42" s="109" t="s">
        <v>44</v>
      </c>
      <c r="H42" s="109"/>
      <c r="I42" s="109" t="s">
        <v>37</v>
      </c>
      <c r="J42" s="109" t="s">
        <v>76</v>
      </c>
      <c r="K42" s="109"/>
      <c r="L42" s="128">
        <f t="shared" si="0"/>
        <v>3</v>
      </c>
      <c r="M42" s="112"/>
      <c r="N42" s="112"/>
      <c r="O42" s="113"/>
      <c r="P42" s="109"/>
      <c r="Q42" s="109"/>
      <c r="R42" s="109"/>
      <c r="S42" s="109"/>
      <c r="T42" s="109"/>
      <c r="U42" s="109" t="s">
        <v>37</v>
      </c>
      <c r="V42" s="109" t="s">
        <v>37</v>
      </c>
      <c r="W42" s="109"/>
      <c r="X42" s="109"/>
      <c r="Y42" s="109" t="s">
        <v>37</v>
      </c>
      <c r="Z42" s="109"/>
      <c r="AA42" s="109"/>
      <c r="AB42" s="109"/>
      <c r="AC42" s="109"/>
    </row>
    <row r="43" spans="1:29" s="114" customFormat="1" ht="22" customHeight="1" x14ac:dyDescent="0.2">
      <c r="A43" s="115" t="s">
        <v>124</v>
      </c>
      <c r="B43" s="116" t="s">
        <v>2</v>
      </c>
      <c r="C43" s="116" t="s">
        <v>3</v>
      </c>
      <c r="D43" s="115" t="s">
        <v>125</v>
      </c>
      <c r="E43" s="115" t="s">
        <v>34</v>
      </c>
      <c r="F43" s="117">
        <v>2.2569444444444438E-3</v>
      </c>
      <c r="G43" s="115" t="s">
        <v>44</v>
      </c>
      <c r="H43" s="115"/>
      <c r="I43" s="115" t="s">
        <v>37</v>
      </c>
      <c r="J43" s="115" t="s">
        <v>41</v>
      </c>
      <c r="K43" s="115"/>
      <c r="L43" s="128">
        <f t="shared" si="0"/>
        <v>6</v>
      </c>
      <c r="M43" s="118"/>
      <c r="N43" s="118"/>
      <c r="O43" s="119"/>
      <c r="P43" s="115"/>
      <c r="Q43" s="115"/>
      <c r="R43" s="115"/>
      <c r="S43" s="115"/>
      <c r="T43" s="115" t="s">
        <v>37</v>
      </c>
      <c r="U43" s="115" t="s">
        <v>37</v>
      </c>
      <c r="V43" s="115" t="s">
        <v>37</v>
      </c>
      <c r="W43" s="115"/>
      <c r="X43" s="115" t="s">
        <v>37</v>
      </c>
      <c r="Y43" s="115" t="s">
        <v>37</v>
      </c>
      <c r="Z43" s="115"/>
      <c r="AA43" s="115"/>
      <c r="AB43" s="115"/>
      <c r="AC43" s="115" t="s">
        <v>37</v>
      </c>
    </row>
    <row r="44" spans="1:29" s="114" customFormat="1" ht="22" customHeight="1" x14ac:dyDescent="0.2">
      <c r="A44" s="109" t="s">
        <v>126</v>
      </c>
      <c r="B44" s="121" t="s">
        <v>2</v>
      </c>
      <c r="C44" s="121" t="s">
        <v>3</v>
      </c>
      <c r="D44" s="109" t="s">
        <v>127</v>
      </c>
      <c r="E44" s="109" t="s">
        <v>34</v>
      </c>
      <c r="F44" s="111">
        <v>3.472222222222222E-3</v>
      </c>
      <c r="G44" s="109" t="s">
        <v>44</v>
      </c>
      <c r="H44" s="109"/>
      <c r="I44" s="109"/>
      <c r="J44" s="109" t="s">
        <v>50</v>
      </c>
      <c r="K44" s="109"/>
      <c r="L44" s="128">
        <f t="shared" si="0"/>
        <v>2</v>
      </c>
      <c r="M44" s="112"/>
      <c r="N44" s="112"/>
      <c r="O44" s="113"/>
      <c r="P44" s="109"/>
      <c r="Q44" s="109"/>
      <c r="R44" s="109" t="s">
        <v>37</v>
      </c>
      <c r="S44" s="109"/>
      <c r="T44" s="109"/>
      <c r="U44" s="109"/>
      <c r="V44" s="109"/>
      <c r="W44" s="109"/>
      <c r="X44" s="109"/>
      <c r="Y44" s="109" t="s">
        <v>37</v>
      </c>
      <c r="Z44" s="109"/>
      <c r="AA44" s="109"/>
      <c r="AB44" s="109"/>
      <c r="AC44" s="109"/>
    </row>
    <row r="45" spans="1:29" s="114" customFormat="1" ht="22" customHeight="1" x14ac:dyDescent="0.2">
      <c r="A45" s="115" t="s">
        <v>128</v>
      </c>
      <c r="B45" s="116" t="s">
        <v>2</v>
      </c>
      <c r="C45" s="116" t="s">
        <v>3</v>
      </c>
      <c r="D45" s="115" t="s">
        <v>60</v>
      </c>
      <c r="E45" s="115" t="s">
        <v>34</v>
      </c>
      <c r="F45" s="117">
        <v>2.0833333333333329E-3</v>
      </c>
      <c r="G45" s="115" t="s">
        <v>40</v>
      </c>
      <c r="H45" s="115"/>
      <c r="I45" s="115" t="s">
        <v>37</v>
      </c>
      <c r="J45" s="115" t="s">
        <v>41</v>
      </c>
      <c r="K45" s="115"/>
      <c r="L45" s="128">
        <f t="shared" si="0"/>
        <v>5</v>
      </c>
      <c r="M45" s="118"/>
      <c r="N45" s="118"/>
      <c r="O45" s="119"/>
      <c r="P45" s="115"/>
      <c r="Q45" s="115"/>
      <c r="R45" s="115"/>
      <c r="S45" s="115"/>
      <c r="T45" s="115" t="s">
        <v>37</v>
      </c>
      <c r="U45" s="115"/>
      <c r="V45" s="115" t="s">
        <v>37</v>
      </c>
      <c r="W45" s="115" t="s">
        <v>37</v>
      </c>
      <c r="X45" s="115" t="s">
        <v>37</v>
      </c>
      <c r="Y45" s="115"/>
      <c r="Z45" s="115"/>
      <c r="AA45" s="115"/>
      <c r="AB45" s="115"/>
      <c r="AC45" s="115" t="s">
        <v>37</v>
      </c>
    </row>
    <row r="46" spans="1:29" s="114" customFormat="1" ht="22" customHeight="1" x14ac:dyDescent="0.2">
      <c r="A46" s="109" t="s">
        <v>129</v>
      </c>
      <c r="B46" s="121" t="s">
        <v>2</v>
      </c>
      <c r="C46" s="121" t="s">
        <v>3</v>
      </c>
      <c r="D46" s="109" t="s">
        <v>130</v>
      </c>
      <c r="E46" s="109" t="s">
        <v>34</v>
      </c>
      <c r="F46" s="111">
        <v>3.1250000000000002E-3</v>
      </c>
      <c r="G46" s="109" t="s">
        <v>40</v>
      </c>
      <c r="H46" s="109"/>
      <c r="I46" s="109"/>
      <c r="J46" s="109" t="s">
        <v>41</v>
      </c>
      <c r="K46" s="109" t="s">
        <v>37</v>
      </c>
      <c r="L46" s="128">
        <f t="shared" si="0"/>
        <v>0</v>
      </c>
      <c r="M46" s="112"/>
      <c r="N46" s="112"/>
      <c r="O46" s="113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</row>
    <row r="47" spans="1:29" s="114" customFormat="1" ht="20" customHeight="1" x14ac:dyDescent="0.2">
      <c r="A47" s="115" t="s">
        <v>131</v>
      </c>
      <c r="B47" s="116" t="s">
        <v>2</v>
      </c>
      <c r="C47" s="116" t="s">
        <v>3</v>
      </c>
      <c r="D47" s="115" t="s">
        <v>101</v>
      </c>
      <c r="E47" s="115" t="s">
        <v>34</v>
      </c>
      <c r="F47" s="117">
        <v>3.3217592592592591E-3</v>
      </c>
      <c r="G47" s="115" t="s">
        <v>44</v>
      </c>
      <c r="H47" s="115"/>
      <c r="I47" s="115" t="s">
        <v>37</v>
      </c>
      <c r="J47" s="115" t="s">
        <v>41</v>
      </c>
      <c r="K47" s="115"/>
      <c r="L47" s="128">
        <f t="shared" si="0"/>
        <v>17</v>
      </c>
      <c r="M47" s="118" t="s">
        <v>37</v>
      </c>
      <c r="N47" s="118" t="s">
        <v>37</v>
      </c>
      <c r="O47" s="115" t="s">
        <v>37</v>
      </c>
      <c r="P47" s="115" t="s">
        <v>37</v>
      </c>
      <c r="Q47" s="115" t="s">
        <v>37</v>
      </c>
      <c r="R47" s="115" t="s">
        <v>37</v>
      </c>
      <c r="S47" s="115" t="s">
        <v>37</v>
      </c>
      <c r="T47" s="115" t="s">
        <v>37</v>
      </c>
      <c r="U47" s="115" t="s">
        <v>37</v>
      </c>
      <c r="V47" s="115" t="s">
        <v>37</v>
      </c>
      <c r="W47" s="115" t="s">
        <v>37</v>
      </c>
      <c r="X47" s="115" t="s">
        <v>37</v>
      </c>
      <c r="Y47" s="115" t="s">
        <v>37</v>
      </c>
      <c r="Z47" s="115" t="s">
        <v>37</v>
      </c>
      <c r="AA47" s="115" t="s">
        <v>37</v>
      </c>
      <c r="AB47" s="115" t="s">
        <v>37</v>
      </c>
      <c r="AC47" s="115" t="s">
        <v>37</v>
      </c>
    </row>
    <row r="48" spans="1:29" s="114" customFormat="1" ht="17" customHeight="1" x14ac:dyDescent="0.2">
      <c r="A48" s="109" t="s">
        <v>132</v>
      </c>
      <c r="B48" s="124" t="s">
        <v>133</v>
      </c>
      <c r="C48" s="124" t="s">
        <v>134</v>
      </c>
      <c r="D48" s="109" t="s">
        <v>135</v>
      </c>
      <c r="E48" s="109" t="s">
        <v>34</v>
      </c>
      <c r="F48" s="111"/>
      <c r="G48" s="109" t="s">
        <v>136</v>
      </c>
      <c r="H48" s="109"/>
      <c r="I48" s="109"/>
      <c r="J48" s="109" t="s">
        <v>41</v>
      </c>
      <c r="K48" s="109"/>
      <c r="L48" s="128">
        <f t="shared" si="0"/>
        <v>1</v>
      </c>
      <c r="M48" s="112"/>
      <c r="N48" s="112"/>
      <c r="O48" s="113"/>
      <c r="P48" s="109"/>
      <c r="Q48" s="109"/>
      <c r="R48" s="109"/>
      <c r="S48" s="109"/>
      <c r="T48" s="109"/>
      <c r="U48" s="109"/>
      <c r="V48" s="109"/>
      <c r="W48" s="109" t="s">
        <v>37</v>
      </c>
      <c r="X48" s="109"/>
      <c r="Y48" s="109"/>
      <c r="Z48" s="109"/>
      <c r="AA48" s="109"/>
      <c r="AB48" s="109"/>
      <c r="AC48" s="109"/>
    </row>
    <row r="49" spans="1:29" ht="17" x14ac:dyDescent="0.2">
      <c r="A49" s="115" t="s">
        <v>137</v>
      </c>
      <c r="B49" s="116" t="s">
        <v>2</v>
      </c>
      <c r="C49" s="116" t="s">
        <v>3</v>
      </c>
      <c r="D49" s="115" t="s">
        <v>138</v>
      </c>
      <c r="E49" s="115" t="s">
        <v>34</v>
      </c>
      <c r="F49" s="117">
        <v>2.0949074074074069E-3</v>
      </c>
      <c r="G49" s="115" t="s">
        <v>40</v>
      </c>
      <c r="H49" s="115"/>
      <c r="I49" s="115" t="s">
        <v>37</v>
      </c>
      <c r="J49" s="115" t="s">
        <v>63</v>
      </c>
      <c r="K49" s="115"/>
      <c r="L49" s="128">
        <f t="shared" si="0"/>
        <v>11</v>
      </c>
      <c r="M49" s="118" t="s">
        <v>37</v>
      </c>
      <c r="N49" s="118" t="s">
        <v>37</v>
      </c>
      <c r="O49" s="115" t="s">
        <v>37</v>
      </c>
      <c r="P49" s="115"/>
      <c r="Q49" s="115" t="s">
        <v>37</v>
      </c>
      <c r="R49" s="115" t="s">
        <v>37</v>
      </c>
      <c r="S49" s="115"/>
      <c r="T49" s="115"/>
      <c r="U49" s="115"/>
      <c r="V49" s="115" t="s">
        <v>37</v>
      </c>
      <c r="W49" s="115" t="s">
        <v>37</v>
      </c>
      <c r="X49" s="115"/>
      <c r="Y49" s="115" t="s">
        <v>37</v>
      </c>
      <c r="Z49" s="115"/>
      <c r="AA49" s="115" t="s">
        <v>37</v>
      </c>
      <c r="AB49" s="115" t="s">
        <v>37</v>
      </c>
      <c r="AC49" s="115" t="s">
        <v>37</v>
      </c>
    </row>
    <row r="50" spans="1:29" x14ac:dyDescent="0.2">
      <c r="A50" s="4"/>
      <c r="B50" s="4"/>
      <c r="C50" s="4"/>
      <c r="D50" s="20"/>
      <c r="E50" s="2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</sheetData>
  <hyperlinks>
    <hyperlink ref="N2" location="'2026-05-16 Fat Shallot'!A1" display="'2026-05-16 Fat Shallot'!A1" xr:uid="{00000000-0004-0000-0000-000000000000}"/>
    <hyperlink ref="O2" location="'2026-05-14 Fat Shallot'!A1" display="2026-05-14_x000a_Fat Shallot" xr:uid="{00000000-0004-0000-0000-000001000000}"/>
    <hyperlink ref="P2" location="'2026-05-02 Lincolnwood'!A1" display="2026-05-02_x000a_Lincolnwood" xr:uid="{00000000-0004-0000-0000-000002000000}"/>
    <hyperlink ref="Q2" location="'2026-04-22 Spring Cha Ching'!A1" display="2026-04-22_x000a_Spring Cha Ching" xr:uid="{00000000-0004-0000-0000-000003000000}"/>
    <hyperlink ref="R2" location="'2026-01-24 Goat Village'!A1" display="2026-01-24_x000a_Goat Village" xr:uid="{00000000-0004-0000-0000-000004000000}"/>
    <hyperlink ref="S2" location="'2025-11-16 Double Clutch'!A1" display="2025-11-16_x000a_Double Clutch" xr:uid="{00000000-0004-0000-0000-000005000000}"/>
    <hyperlink ref="T2" location="'2025-09-06 Block Party'!A1" display="2025-09-06_x000a_Block Party" xr:uid="{00000000-0004-0000-0000-000006000000}"/>
    <hyperlink ref="U2" location="'2025-06-25 American Legion'!A1" display="2025-06-25_x000a_American Legion" xr:uid="{00000000-0004-0000-0000-000007000000}"/>
    <hyperlink ref="V2" location="'2025-06-07 Fat Shallot'!A1" display="2025-06-07_x000a_Fat Shallot" xr:uid="{00000000-0004-0000-0000-000008000000}"/>
    <hyperlink ref="W2" location="'2025-05-03 Lincolnwood'!A1" display="2025-05-03_x000a_Lincolnwood" xr:uid="{00000000-0004-0000-0000-000009000000}"/>
    <hyperlink ref="X2" location="'2024-10-09 Fat Shallot'!A1" display="2024-10-09_x000a_Fat Shallot" xr:uid="{00000000-0004-0000-0000-00000A000000}"/>
    <hyperlink ref="Y2" location="'2024-09-07 Block Party'!A1" display="2024-09-07_x000a_Block Party" xr:uid="{00000000-0004-0000-0000-00000B000000}"/>
    <hyperlink ref="Z2" location="'2024-08-10 Fat Shallot'!A1" display="2024-08-10_x000a_Fat Shallot" xr:uid="{00000000-0004-0000-0000-00000C000000}"/>
    <hyperlink ref="AA2" location="'2024-07-13 Chicago Union'!A1" display="2024-07-13_x000a_Chicago Union" xr:uid="{00000000-0004-0000-0000-00000D000000}"/>
    <hyperlink ref="AB2" location="'2024-06-08 Fat Shallot'!A1" display="2024-06-08_x000a_Fat Shallot" xr:uid="{00000000-0004-0000-0000-00000E000000}"/>
    <hyperlink ref="AC2" location="'2024-04-27 Lincolnwood'!A1" display="2024-04-27_x000a_Lincolnwood" xr:uid="{00000000-0004-0000-0000-00000F000000}"/>
    <hyperlink ref="AD2" location="'2026-06-21 Chicago Union Rain C'!A1" tooltip="2026-06-21 Chicago Union Rain C (canceled)" display="2026-06-21_x000a_Chicago Union Rain C" xr:uid="{00000000-0004-0000-0000-000010000000}"/>
    <hyperlink ref="B3" r:id="rId1" xr:uid="{00000000-0004-0000-0000-000011000000}"/>
    <hyperlink ref="C3" r:id="rId2" xr:uid="{00000000-0004-0000-0000-000012000000}"/>
    <hyperlink ref="B4" r:id="rId3" xr:uid="{00000000-0004-0000-0000-000013000000}"/>
    <hyperlink ref="C4" r:id="rId4" xr:uid="{00000000-0004-0000-0000-000014000000}"/>
    <hyperlink ref="B5" r:id="rId5" xr:uid="{00000000-0004-0000-0000-000015000000}"/>
    <hyperlink ref="C5" r:id="rId6" xr:uid="{00000000-0004-0000-0000-000016000000}"/>
    <hyperlink ref="B6" r:id="rId7" xr:uid="{00000000-0004-0000-0000-000017000000}"/>
    <hyperlink ref="C6" r:id="rId8" xr:uid="{00000000-0004-0000-0000-000018000000}"/>
    <hyperlink ref="B7" r:id="rId9" xr:uid="{00000000-0004-0000-0000-000019000000}"/>
    <hyperlink ref="C7" r:id="rId10" xr:uid="{00000000-0004-0000-0000-00001A000000}"/>
    <hyperlink ref="B8" r:id="rId11" xr:uid="{00000000-0004-0000-0000-00001B000000}"/>
    <hyperlink ref="C8" r:id="rId12" xr:uid="{00000000-0004-0000-0000-00001C000000}"/>
    <hyperlink ref="B9" r:id="rId13" xr:uid="{00000000-0004-0000-0000-00001D000000}"/>
    <hyperlink ref="C9" r:id="rId14" xr:uid="{00000000-0004-0000-0000-00001E000000}"/>
    <hyperlink ref="B10" r:id="rId15" xr:uid="{00000000-0004-0000-0000-00001F000000}"/>
    <hyperlink ref="C10" r:id="rId16" xr:uid="{00000000-0004-0000-0000-000020000000}"/>
    <hyperlink ref="B11" r:id="rId17" xr:uid="{00000000-0004-0000-0000-000021000000}"/>
    <hyperlink ref="C11" r:id="rId18" xr:uid="{00000000-0004-0000-0000-000022000000}"/>
    <hyperlink ref="B12" r:id="rId19" xr:uid="{00000000-0004-0000-0000-000023000000}"/>
    <hyperlink ref="C12" r:id="rId20" xr:uid="{00000000-0004-0000-0000-000024000000}"/>
    <hyperlink ref="B13" r:id="rId21" xr:uid="{00000000-0004-0000-0000-000025000000}"/>
    <hyperlink ref="C13" r:id="rId22" xr:uid="{00000000-0004-0000-0000-000026000000}"/>
    <hyperlink ref="B14" r:id="rId23" xr:uid="{00000000-0004-0000-0000-000027000000}"/>
    <hyperlink ref="C14" r:id="rId24" xr:uid="{00000000-0004-0000-0000-000028000000}"/>
    <hyperlink ref="B15" r:id="rId25" xr:uid="{00000000-0004-0000-0000-000029000000}"/>
    <hyperlink ref="C15" r:id="rId26" xr:uid="{00000000-0004-0000-0000-00002A000000}"/>
    <hyperlink ref="B16" r:id="rId27" xr:uid="{00000000-0004-0000-0000-00002B000000}"/>
    <hyperlink ref="C16" r:id="rId28" xr:uid="{00000000-0004-0000-0000-00002C000000}"/>
    <hyperlink ref="B17" r:id="rId29" xr:uid="{00000000-0004-0000-0000-00002D000000}"/>
    <hyperlink ref="C17" r:id="rId30" xr:uid="{00000000-0004-0000-0000-00002E000000}"/>
    <hyperlink ref="B18" r:id="rId31" xr:uid="{00000000-0004-0000-0000-00002F000000}"/>
    <hyperlink ref="C18" r:id="rId32" xr:uid="{00000000-0004-0000-0000-000030000000}"/>
    <hyperlink ref="B19" r:id="rId33" xr:uid="{00000000-0004-0000-0000-000031000000}"/>
    <hyperlink ref="C19" r:id="rId34" xr:uid="{00000000-0004-0000-0000-000032000000}"/>
    <hyperlink ref="B20" r:id="rId35" xr:uid="{00000000-0004-0000-0000-000033000000}"/>
    <hyperlink ref="C20" r:id="rId36" xr:uid="{00000000-0004-0000-0000-000034000000}"/>
    <hyperlink ref="B21" r:id="rId37" xr:uid="{00000000-0004-0000-0000-000035000000}"/>
    <hyperlink ref="C21" r:id="rId38" xr:uid="{00000000-0004-0000-0000-000036000000}"/>
    <hyperlink ref="B22" r:id="rId39" xr:uid="{00000000-0004-0000-0000-000037000000}"/>
    <hyperlink ref="C22" r:id="rId40" xr:uid="{00000000-0004-0000-0000-000038000000}"/>
    <hyperlink ref="B23" r:id="rId41" xr:uid="{00000000-0004-0000-0000-000039000000}"/>
    <hyperlink ref="C23" r:id="rId42" xr:uid="{00000000-0004-0000-0000-00003A000000}"/>
    <hyperlink ref="B24" r:id="rId43" xr:uid="{00000000-0004-0000-0000-00003B000000}"/>
    <hyperlink ref="B25" r:id="rId44" xr:uid="{00000000-0004-0000-0000-00003C000000}"/>
    <hyperlink ref="C25" r:id="rId45" xr:uid="{00000000-0004-0000-0000-00003D000000}"/>
    <hyperlink ref="B26" r:id="rId46" xr:uid="{00000000-0004-0000-0000-00003E000000}"/>
    <hyperlink ref="C26" r:id="rId47" xr:uid="{00000000-0004-0000-0000-00003F000000}"/>
    <hyperlink ref="B27" r:id="rId48" xr:uid="{00000000-0004-0000-0000-000040000000}"/>
    <hyperlink ref="C27" r:id="rId49" xr:uid="{00000000-0004-0000-0000-000041000000}"/>
    <hyperlink ref="B28" r:id="rId50" xr:uid="{00000000-0004-0000-0000-000042000000}"/>
    <hyperlink ref="C28" r:id="rId51" xr:uid="{00000000-0004-0000-0000-000043000000}"/>
    <hyperlink ref="B29" r:id="rId52" xr:uid="{00000000-0004-0000-0000-000044000000}"/>
    <hyperlink ref="C29" r:id="rId53" xr:uid="{00000000-0004-0000-0000-000045000000}"/>
    <hyperlink ref="B30" r:id="rId54" xr:uid="{00000000-0004-0000-0000-000046000000}"/>
    <hyperlink ref="C30" r:id="rId55" xr:uid="{00000000-0004-0000-0000-000047000000}"/>
    <hyperlink ref="B31" r:id="rId56" xr:uid="{00000000-0004-0000-0000-000048000000}"/>
    <hyperlink ref="C31" r:id="rId57" xr:uid="{00000000-0004-0000-0000-000049000000}"/>
    <hyperlink ref="B32" r:id="rId58" xr:uid="{00000000-0004-0000-0000-00004A000000}"/>
    <hyperlink ref="C32" r:id="rId59" xr:uid="{00000000-0004-0000-0000-00004B000000}"/>
    <hyperlink ref="B33" r:id="rId60" xr:uid="{00000000-0004-0000-0000-00004C000000}"/>
    <hyperlink ref="C33" r:id="rId61" xr:uid="{00000000-0004-0000-0000-00004D000000}"/>
    <hyperlink ref="B34" r:id="rId62" xr:uid="{00000000-0004-0000-0000-00004E000000}"/>
    <hyperlink ref="C34" r:id="rId63" xr:uid="{00000000-0004-0000-0000-00004F000000}"/>
    <hyperlink ref="B35" r:id="rId64" xr:uid="{00000000-0004-0000-0000-000050000000}"/>
    <hyperlink ref="C35" r:id="rId65" xr:uid="{00000000-0004-0000-0000-000051000000}"/>
    <hyperlink ref="B36" r:id="rId66" xr:uid="{00000000-0004-0000-0000-000052000000}"/>
    <hyperlink ref="C36" r:id="rId67" xr:uid="{00000000-0004-0000-0000-000053000000}"/>
    <hyperlink ref="B37" r:id="rId68" xr:uid="{00000000-0004-0000-0000-000054000000}"/>
    <hyperlink ref="C37" r:id="rId69" xr:uid="{00000000-0004-0000-0000-000055000000}"/>
    <hyperlink ref="B38" r:id="rId70" xr:uid="{00000000-0004-0000-0000-000056000000}"/>
    <hyperlink ref="C38" r:id="rId71" xr:uid="{00000000-0004-0000-0000-000057000000}"/>
    <hyperlink ref="B39" r:id="rId72" xr:uid="{00000000-0004-0000-0000-000058000000}"/>
    <hyperlink ref="C39" r:id="rId73" xr:uid="{00000000-0004-0000-0000-000059000000}"/>
    <hyperlink ref="B40" r:id="rId74" xr:uid="{00000000-0004-0000-0000-00005A000000}"/>
    <hyperlink ref="C40" r:id="rId75" xr:uid="{00000000-0004-0000-0000-00005B000000}"/>
    <hyperlink ref="B41" r:id="rId76" xr:uid="{00000000-0004-0000-0000-00005C000000}"/>
    <hyperlink ref="C41" r:id="rId77" xr:uid="{00000000-0004-0000-0000-00005D000000}"/>
    <hyperlink ref="B42" r:id="rId78" xr:uid="{00000000-0004-0000-0000-00005E000000}"/>
    <hyperlink ref="C42" r:id="rId79" xr:uid="{00000000-0004-0000-0000-00005F000000}"/>
    <hyperlink ref="B43" r:id="rId80" xr:uid="{00000000-0004-0000-0000-000060000000}"/>
    <hyperlink ref="C43" r:id="rId81" xr:uid="{00000000-0004-0000-0000-000061000000}"/>
    <hyperlink ref="B44" r:id="rId82" xr:uid="{00000000-0004-0000-0000-000062000000}"/>
    <hyperlink ref="C44" r:id="rId83" xr:uid="{00000000-0004-0000-0000-000063000000}"/>
    <hyperlink ref="B45" r:id="rId84" xr:uid="{00000000-0004-0000-0000-000064000000}"/>
    <hyperlink ref="C45" r:id="rId85" xr:uid="{00000000-0004-0000-0000-000065000000}"/>
    <hyperlink ref="B46" r:id="rId86" xr:uid="{00000000-0004-0000-0000-000066000000}"/>
    <hyperlink ref="C46" r:id="rId87" xr:uid="{00000000-0004-0000-0000-000067000000}"/>
    <hyperlink ref="B48" r:id="rId88" xr:uid="{00000000-0004-0000-0000-000068000000}"/>
    <hyperlink ref="C48" r:id="rId89" xr:uid="{00000000-0004-0000-0000-000069000000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3" customFormat="1" ht="28" customHeight="1" thickTop="1" thickBot="1" x14ac:dyDescent="0.3">
      <c r="A1" s="21" t="s">
        <v>139</v>
      </c>
      <c r="B1" s="22"/>
      <c r="C1" s="22"/>
      <c r="D1" s="22"/>
      <c r="E1" s="22"/>
      <c r="F1" s="22"/>
      <c r="G1" s="22"/>
      <c r="H1" s="22"/>
    </row>
    <row r="2" spans="1:8" s="3" customFormat="1" ht="28" customHeight="1" thickTop="1" thickBot="1" x14ac:dyDescent="0.3">
      <c r="A2" s="21" t="s">
        <v>140</v>
      </c>
      <c r="B2" s="23" t="s">
        <v>141</v>
      </c>
      <c r="C2" s="23" t="s">
        <v>142</v>
      </c>
      <c r="D2" s="23" t="s">
        <v>143</v>
      </c>
      <c r="E2" s="23" t="s">
        <v>144</v>
      </c>
      <c r="F2" s="23" t="s">
        <v>145</v>
      </c>
      <c r="G2" s="23"/>
      <c r="H2" s="23"/>
    </row>
    <row r="3" spans="1:8" ht="20" customHeight="1" thickTop="1" x14ac:dyDescent="0.25">
      <c r="A3" s="5" t="s">
        <v>146</v>
      </c>
      <c r="B3" s="5" t="s">
        <v>60</v>
      </c>
      <c r="C3" s="5" t="s">
        <v>35</v>
      </c>
      <c r="D3" s="5" t="s">
        <v>41</v>
      </c>
      <c r="E3" s="5" t="s">
        <v>147</v>
      </c>
      <c r="F3" s="7" t="s">
        <v>148</v>
      </c>
      <c r="G3" s="7"/>
      <c r="H3" s="7"/>
    </row>
    <row r="4" spans="1:8" ht="20" customHeight="1" x14ac:dyDescent="0.25">
      <c r="A4" s="6" t="s">
        <v>149</v>
      </c>
      <c r="B4" s="6" t="s">
        <v>150</v>
      </c>
      <c r="C4" s="6" t="s">
        <v>151</v>
      </c>
      <c r="D4" s="6" t="s">
        <v>36</v>
      </c>
      <c r="E4" s="6" t="s">
        <v>152</v>
      </c>
      <c r="F4" s="7" t="s">
        <v>153</v>
      </c>
      <c r="G4" s="7"/>
      <c r="H4" s="7"/>
    </row>
    <row r="5" spans="1:8" ht="20" customHeight="1" x14ac:dyDescent="0.25">
      <c r="A5" s="6" t="s">
        <v>154</v>
      </c>
      <c r="B5" s="6" t="s">
        <v>155</v>
      </c>
      <c r="C5" s="6" t="s">
        <v>44</v>
      </c>
      <c r="D5" s="6" t="s">
        <v>76</v>
      </c>
      <c r="E5" s="6"/>
      <c r="F5" s="7" t="s">
        <v>156</v>
      </c>
      <c r="G5" s="7"/>
      <c r="H5" s="7"/>
    </row>
    <row r="6" spans="1:8" ht="20" customHeight="1" x14ac:dyDescent="0.25">
      <c r="A6" s="6" t="s">
        <v>157</v>
      </c>
      <c r="B6" s="6" t="s">
        <v>158</v>
      </c>
      <c r="C6" s="6" t="s">
        <v>44</v>
      </c>
      <c r="D6" s="6" t="s">
        <v>36</v>
      </c>
      <c r="E6" s="6" t="s">
        <v>159</v>
      </c>
      <c r="F6" s="7" t="s">
        <v>160</v>
      </c>
      <c r="G6" s="7"/>
      <c r="H6" s="7"/>
    </row>
    <row r="7" spans="1:8" ht="17" customHeight="1" x14ac:dyDescent="0.25">
      <c r="A7" s="7" t="s">
        <v>161</v>
      </c>
      <c r="B7" s="7" t="s">
        <v>162</v>
      </c>
      <c r="C7" s="7" t="s">
        <v>55</v>
      </c>
      <c r="D7" s="7"/>
      <c r="E7" s="7"/>
      <c r="F7" s="7" t="s">
        <v>163</v>
      </c>
      <c r="G7" s="7"/>
      <c r="H7" s="7"/>
    </row>
    <row r="8" spans="1:8" ht="17" customHeight="1" x14ac:dyDescent="0.25">
      <c r="A8" s="2" t="s">
        <v>164</v>
      </c>
      <c r="B8" s="2" t="s">
        <v>165</v>
      </c>
      <c r="C8" s="2" t="s">
        <v>55</v>
      </c>
      <c r="D8" s="2"/>
      <c r="E8" s="2"/>
      <c r="F8" s="2"/>
      <c r="G8" s="2"/>
      <c r="H8" s="2"/>
    </row>
    <row r="9" spans="1:8" ht="17" customHeight="1" x14ac:dyDescent="0.25">
      <c r="A9" s="2"/>
      <c r="B9" s="2"/>
      <c r="C9" s="2"/>
      <c r="D9" s="2"/>
      <c r="E9" s="2"/>
      <c r="F9" s="2"/>
      <c r="G9" s="2"/>
      <c r="H9" s="2"/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38157-9BE1-8B4C-BB03-B9775E21C6C0}">
  <dimension ref="A1:F23"/>
  <sheetViews>
    <sheetView tabSelected="1" workbookViewId="0">
      <pane ySplit="3" topLeftCell="A4" activePane="bottomLeft" state="frozen"/>
      <selection pane="bottomLeft" activeCell="B28" sqref="B28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9.1640625" bestFit="1" customWidth="1"/>
    <col min="6" max="6" width="11.83203125" style="8" bestFit="1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192</v>
      </c>
      <c r="B2" s="145"/>
      <c r="C2" s="145"/>
      <c r="D2" s="145"/>
      <c r="E2" s="145"/>
      <c r="F2" s="146"/>
    </row>
    <row r="3" spans="1:6" ht="22" customHeight="1" thickBot="1" x14ac:dyDescent="0.25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17" customHeight="1" x14ac:dyDescent="0.2">
      <c r="A4" s="88">
        <v>1</v>
      </c>
      <c r="B4" s="89" t="s">
        <v>56</v>
      </c>
      <c r="C4" s="90" t="s">
        <v>2</v>
      </c>
      <c r="D4" s="91" t="s">
        <v>3</v>
      </c>
      <c r="E4" s="89" t="s">
        <v>40</v>
      </c>
      <c r="F4" s="92">
        <v>2.1875000000000002E-3</v>
      </c>
    </row>
    <row r="5" spans="1:6" ht="22" customHeight="1" x14ac:dyDescent="0.2">
      <c r="A5" s="93">
        <v>2</v>
      </c>
      <c r="B5" s="94" t="s">
        <v>116</v>
      </c>
      <c r="C5" s="95" t="s">
        <v>2</v>
      </c>
      <c r="D5" s="96" t="s">
        <v>3</v>
      </c>
      <c r="E5" s="94" t="s">
        <v>44</v>
      </c>
      <c r="F5" s="97">
        <v>2.604166666666667E-3</v>
      </c>
    </row>
    <row r="6" spans="1:6" ht="17" customHeight="1" x14ac:dyDescent="0.2">
      <c r="A6" s="93">
        <v>3</v>
      </c>
      <c r="B6" s="94" t="s">
        <v>107</v>
      </c>
      <c r="C6" s="95" t="s">
        <v>2</v>
      </c>
      <c r="D6" s="96" t="s">
        <v>3</v>
      </c>
      <c r="E6" s="94" t="s">
        <v>35</v>
      </c>
      <c r="F6" s="97">
        <v>2.9513888888888888E-3</v>
      </c>
    </row>
    <row r="7" spans="1:6" ht="17" customHeight="1" x14ac:dyDescent="0.2">
      <c r="A7" s="93">
        <v>4</v>
      </c>
      <c r="B7" s="94" t="s">
        <v>98</v>
      </c>
      <c r="C7" s="95" t="s">
        <v>2</v>
      </c>
      <c r="D7" s="96" t="s">
        <v>3</v>
      </c>
      <c r="E7" s="94" t="s">
        <v>44</v>
      </c>
      <c r="F7" s="97">
        <v>2.8587962962962959E-3</v>
      </c>
    </row>
    <row r="8" spans="1:6" ht="17" customHeight="1" x14ac:dyDescent="0.2">
      <c r="A8" s="93">
        <v>5</v>
      </c>
      <c r="B8" s="94" t="s">
        <v>46</v>
      </c>
      <c r="C8" s="95" t="s">
        <v>2</v>
      </c>
      <c r="D8" s="96" t="s">
        <v>3</v>
      </c>
      <c r="E8" s="94" t="s">
        <v>35</v>
      </c>
      <c r="F8" s="97">
        <v>2.5810185185185189E-3</v>
      </c>
    </row>
    <row r="9" spans="1:6" ht="17" customHeight="1" x14ac:dyDescent="0.2">
      <c r="A9" s="93">
        <v>6</v>
      </c>
      <c r="B9" s="94" t="s">
        <v>97</v>
      </c>
      <c r="C9" s="95" t="s">
        <v>2</v>
      </c>
      <c r="D9" s="96" t="s">
        <v>3</v>
      </c>
      <c r="E9" s="94" t="s">
        <v>55</v>
      </c>
      <c r="F9" s="97">
        <v>3.0439814814814808E-3</v>
      </c>
    </row>
    <row r="10" spans="1:6" ht="17" customHeight="1" x14ac:dyDescent="0.2">
      <c r="A10" s="93">
        <v>7</v>
      </c>
      <c r="B10" s="94" t="s">
        <v>79</v>
      </c>
      <c r="C10" s="95" t="s">
        <v>2</v>
      </c>
      <c r="D10" s="96" t="s">
        <v>3</v>
      </c>
      <c r="E10" s="94" t="s">
        <v>44</v>
      </c>
      <c r="F10" s="97">
        <v>2.604166666666667E-3</v>
      </c>
    </row>
    <row r="11" spans="1:6" ht="17" customHeight="1" x14ac:dyDescent="0.2">
      <c r="A11" s="93">
        <v>8</v>
      </c>
      <c r="B11" s="94" t="s">
        <v>85</v>
      </c>
      <c r="C11" s="95" t="s">
        <v>2</v>
      </c>
      <c r="D11" s="96" t="s">
        <v>3</v>
      </c>
      <c r="E11" s="94" t="s">
        <v>35</v>
      </c>
      <c r="F11" s="97">
        <v>2.5810185185185189E-3</v>
      </c>
    </row>
    <row r="12" spans="1:6" ht="17" customHeight="1" x14ac:dyDescent="0.2">
      <c r="A12" s="93">
        <v>9</v>
      </c>
      <c r="B12" s="94" t="s">
        <v>114</v>
      </c>
      <c r="C12" s="95" t="s">
        <v>2</v>
      </c>
      <c r="D12" s="96" t="s">
        <v>3</v>
      </c>
      <c r="E12" s="94" t="s">
        <v>44</v>
      </c>
      <c r="F12" s="97">
        <v>3.368055555555556E-3</v>
      </c>
    </row>
    <row r="13" spans="1:6" ht="17" customHeight="1" x14ac:dyDescent="0.2">
      <c r="A13" s="93">
        <v>10</v>
      </c>
      <c r="B13" s="94" t="s">
        <v>61</v>
      </c>
      <c r="C13" s="95" t="s">
        <v>2</v>
      </c>
      <c r="D13" s="96" t="s">
        <v>3</v>
      </c>
      <c r="E13" s="94" t="s">
        <v>35</v>
      </c>
      <c r="F13" s="97">
        <v>2.743055555555555E-3</v>
      </c>
    </row>
    <row r="14" spans="1:6" ht="17" customHeight="1" x14ac:dyDescent="0.2">
      <c r="A14" s="93">
        <v>11</v>
      </c>
      <c r="B14" s="94" t="s">
        <v>95</v>
      </c>
      <c r="C14" s="95" t="s">
        <v>2</v>
      </c>
      <c r="D14" s="96" t="s">
        <v>3</v>
      </c>
      <c r="E14" s="94" t="s">
        <v>40</v>
      </c>
      <c r="F14" s="97">
        <v>2.650462962962963E-3</v>
      </c>
    </row>
    <row r="15" spans="1:6" ht="17" customHeight="1" x14ac:dyDescent="0.2">
      <c r="A15" s="93">
        <v>12</v>
      </c>
      <c r="B15" s="94" t="s">
        <v>124</v>
      </c>
      <c r="C15" s="95" t="s">
        <v>2</v>
      </c>
      <c r="D15" s="96" t="s">
        <v>3</v>
      </c>
      <c r="E15" s="94" t="s">
        <v>44</v>
      </c>
      <c r="F15" s="97">
        <v>2.2569444444444438E-3</v>
      </c>
    </row>
    <row r="16" spans="1:6" ht="17" customHeight="1" x14ac:dyDescent="0.2">
      <c r="A16" s="93">
        <v>13</v>
      </c>
      <c r="B16" s="94" t="s">
        <v>48</v>
      </c>
      <c r="C16" s="95" t="s">
        <v>2</v>
      </c>
      <c r="D16" s="96" t="s">
        <v>3</v>
      </c>
      <c r="E16" s="94" t="s">
        <v>35</v>
      </c>
      <c r="F16" s="97">
        <v>2.719907407407407E-3</v>
      </c>
    </row>
    <row r="17" spans="1:6" ht="17" customHeight="1" x14ac:dyDescent="0.2">
      <c r="A17" s="93">
        <v>14</v>
      </c>
      <c r="B17" s="94" t="s">
        <v>72</v>
      </c>
      <c r="C17" s="95" t="s">
        <v>2</v>
      </c>
      <c r="D17" s="96" t="s">
        <v>3</v>
      </c>
      <c r="E17" s="94" t="s">
        <v>44</v>
      </c>
      <c r="F17" s="97">
        <v>2.488425925925926E-3</v>
      </c>
    </row>
    <row r="18" spans="1:6" ht="17" customHeight="1" x14ac:dyDescent="0.2">
      <c r="A18" s="93">
        <v>15</v>
      </c>
      <c r="B18" s="94" t="s">
        <v>128</v>
      </c>
      <c r="C18" s="95" t="s">
        <v>2</v>
      </c>
      <c r="D18" s="96" t="s">
        <v>3</v>
      </c>
      <c r="E18" s="94" t="s">
        <v>40</v>
      </c>
      <c r="F18" s="97">
        <v>2.0833333333333329E-3</v>
      </c>
    </row>
    <row r="19" spans="1:6" ht="17" customHeight="1" x14ac:dyDescent="0.2">
      <c r="A19" s="93">
        <v>16</v>
      </c>
      <c r="B19" s="94" t="s">
        <v>100</v>
      </c>
      <c r="C19" s="95" t="s">
        <v>2</v>
      </c>
      <c r="D19" s="96" t="s">
        <v>3</v>
      </c>
      <c r="E19" s="94" t="s">
        <v>44</v>
      </c>
      <c r="F19" s="97">
        <v>2.0486111111111109E-3</v>
      </c>
    </row>
    <row r="20" spans="1:6" ht="17" customHeight="1" x14ac:dyDescent="0.2">
      <c r="A20" s="93">
        <v>17</v>
      </c>
      <c r="B20" s="94" t="s">
        <v>93</v>
      </c>
      <c r="C20" s="95" t="s">
        <v>2</v>
      </c>
      <c r="D20" s="96" t="s">
        <v>3</v>
      </c>
      <c r="E20" s="94" t="s">
        <v>55</v>
      </c>
      <c r="F20" s="97">
        <v>1.9791666666666668E-3</v>
      </c>
    </row>
    <row r="21" spans="1:6" ht="17" customHeight="1" x14ac:dyDescent="0.2">
      <c r="A21" s="93">
        <v>18</v>
      </c>
      <c r="B21" s="94" t="s">
        <v>102</v>
      </c>
      <c r="C21" s="95" t="s">
        <v>2</v>
      </c>
      <c r="D21" s="96" t="s">
        <v>3</v>
      </c>
      <c r="E21" s="94" t="s">
        <v>35</v>
      </c>
      <c r="F21" s="97">
        <v>3.5995370370370369E-3</v>
      </c>
    </row>
    <row r="22" spans="1:6" ht="17" customHeight="1" thickBot="1" x14ac:dyDescent="0.25">
      <c r="A22" s="93">
        <v>19</v>
      </c>
      <c r="B22" s="94" t="s">
        <v>131</v>
      </c>
      <c r="C22" s="95" t="s">
        <v>2</v>
      </c>
      <c r="D22" s="96" t="s">
        <v>3</v>
      </c>
      <c r="E22" s="94" t="s">
        <v>44</v>
      </c>
      <c r="F22" s="97">
        <v>3.3217592592592591E-3</v>
      </c>
    </row>
    <row r="23" spans="1:6" ht="17" customHeight="1" thickBot="1" x14ac:dyDescent="0.25">
      <c r="A23" s="54"/>
      <c r="B23" s="55" t="s">
        <v>170</v>
      </c>
      <c r="C23" s="55"/>
      <c r="D23" s="55"/>
      <c r="E23" s="55"/>
      <c r="F23" s="56">
        <f>SUM(F4:F22)</f>
        <v>5.0671296296296305E-2</v>
      </c>
    </row>
  </sheetData>
  <mergeCells count="2">
    <mergeCell ref="A1:F1"/>
    <mergeCell ref="A2:F2"/>
  </mergeCells>
  <conditionalFormatting sqref="A4:F16 B17:F17 A17:A18 A19:F23">
    <cfRule type="expression" dxfId="5" priority="1">
      <formula>MOD(ROW(),2)=0</formula>
    </cfRule>
    <cfRule type="expression" dxfId="4" priority="2">
      <formula>MOD(ROW(),2)=1</formula>
    </cfRule>
  </conditionalFormatting>
  <hyperlinks>
    <hyperlink ref="C4" r:id="rId1" xr:uid="{D9DA177A-189A-764F-AFCB-1C77FF359938}"/>
    <hyperlink ref="D4" r:id="rId2" xr:uid="{B65AF94C-287F-9547-9FE9-3FFEF8C65603}"/>
    <hyperlink ref="C5" r:id="rId3" xr:uid="{4B0FE00E-A9DE-CE47-9EBB-E130E69A3FE2}"/>
    <hyperlink ref="D5" r:id="rId4" xr:uid="{2B957138-8603-FF40-8870-89A7EB0577C9}"/>
    <hyperlink ref="C6" r:id="rId5" xr:uid="{B175B4B5-732E-9542-87E6-8B2B21313B3C}"/>
    <hyperlink ref="D6" r:id="rId6" xr:uid="{D864685C-0ACC-0C47-AFF3-377E6B809713}"/>
    <hyperlink ref="C7" r:id="rId7" xr:uid="{8E1D8681-BB8B-D542-B311-1401144027B2}"/>
    <hyperlink ref="D7" r:id="rId8" xr:uid="{82B90030-FC95-6442-81A2-38612AD1AFFE}"/>
    <hyperlink ref="C8" r:id="rId9" xr:uid="{439FDFB7-7399-A244-B5F9-0F59793B34F7}"/>
    <hyperlink ref="D8" r:id="rId10" xr:uid="{5349162C-0619-8243-B830-5EE11C9B23E6}"/>
    <hyperlink ref="C9" r:id="rId11" xr:uid="{A8A9EF22-AF54-1440-B6C6-BA2876458184}"/>
    <hyperlink ref="D9" r:id="rId12" xr:uid="{9DFACCDA-8546-BA46-BAEC-D932F7BB046A}"/>
    <hyperlink ref="C10" r:id="rId13" xr:uid="{915736C2-8B13-D14E-8998-49951DEEE0DC}"/>
    <hyperlink ref="D10" r:id="rId14" xr:uid="{F82E15F1-5A03-214F-B92E-DC89287213EE}"/>
    <hyperlink ref="C11" r:id="rId15" xr:uid="{34BFD844-9AFE-BF43-83B4-65322B3EEABC}"/>
    <hyperlink ref="D11" r:id="rId16" xr:uid="{16F54A55-64C5-1A46-B26E-C502ECCB92B5}"/>
    <hyperlink ref="C12" r:id="rId17" xr:uid="{156A48EB-B4F4-CC45-BF6A-16C60789F779}"/>
    <hyperlink ref="D12" r:id="rId18" xr:uid="{3935FEB1-0A60-0C4F-8A2E-6AE387A5DE58}"/>
    <hyperlink ref="C13" r:id="rId19" xr:uid="{2E32667E-DDFE-D149-B06B-80DC85010508}"/>
    <hyperlink ref="D13" r:id="rId20" xr:uid="{5F5C4F7E-94DE-8F4B-A5E3-7C6CEB469B32}"/>
    <hyperlink ref="C14" r:id="rId21" xr:uid="{D2A1D70D-36E6-8F4F-BD12-4199AFD24044}"/>
    <hyperlink ref="D14" r:id="rId22" xr:uid="{4E1072B6-D821-E746-B1AF-DC7CD670644D}"/>
    <hyperlink ref="C15" r:id="rId23" xr:uid="{C228F52B-53CF-1448-AE5C-BEF5F54147CF}"/>
    <hyperlink ref="D15" r:id="rId24" xr:uid="{353FEEBC-B4A0-114F-9396-41FB99774617}"/>
    <hyperlink ref="C16" r:id="rId25" xr:uid="{59577456-5FF5-9D43-B85C-837735DEC7B4}"/>
    <hyperlink ref="D16" r:id="rId26" xr:uid="{42AAB2A3-0AF5-A248-9EC4-7A35205FAA74}"/>
    <hyperlink ref="C17" r:id="rId27" xr:uid="{382790BD-7A61-5A41-A944-097DB1CF8F0E}"/>
    <hyperlink ref="D17" r:id="rId28" xr:uid="{9B4A7551-C5C8-3541-8FA8-D94AF0E8F4BD}"/>
    <hyperlink ref="C18" r:id="rId29" xr:uid="{8C454EA2-8194-1240-8E32-B1C97DA3AD27}"/>
    <hyperlink ref="D18" r:id="rId30" xr:uid="{518FBAFF-AB52-CC43-816D-3129AEA862E9}"/>
    <hyperlink ref="C19" r:id="rId31" xr:uid="{C0EAFD09-AEFB-7047-AED4-747A78793BA4}"/>
    <hyperlink ref="D19" r:id="rId32" xr:uid="{8CDF8C3A-654C-594E-BE43-EFE4448F9D7A}"/>
    <hyperlink ref="C20" r:id="rId33" xr:uid="{6219A849-C629-5943-B638-B8B93C15F74E}"/>
    <hyperlink ref="D20" r:id="rId34" xr:uid="{01F97FC7-00BE-4F45-A275-CD9874F0B4AE}"/>
    <hyperlink ref="C21" r:id="rId35" xr:uid="{E9936282-51F5-4843-9B88-BF0F2F66F3F9}"/>
    <hyperlink ref="D21" r:id="rId36" xr:uid="{E88DA8D9-0CD4-E54D-B450-3EA5CE4D3247}"/>
    <hyperlink ref="C22" r:id="rId37" xr:uid="{3D51BFC1-9D02-9C46-BF29-E1C610AAEB0E}"/>
    <hyperlink ref="D22" r:id="rId38" xr:uid="{C10DC23A-1AA3-2A4D-A8FC-2DBB0258CD38}"/>
  </hyperlink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166</v>
      </c>
      <c r="B2" s="145"/>
      <c r="C2" s="145"/>
      <c r="D2" s="145"/>
      <c r="E2" s="145"/>
      <c r="F2" s="146"/>
    </row>
    <row r="3" spans="1:6" ht="22" customHeight="1" thickBot="1" x14ac:dyDescent="0.25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17" customHeight="1" x14ac:dyDescent="0.2">
      <c r="A4" s="88">
        <v>1</v>
      </c>
      <c r="B4" s="89" t="s">
        <v>56</v>
      </c>
      <c r="C4" s="90" t="s">
        <v>2</v>
      </c>
      <c r="D4" s="91" t="s">
        <v>3</v>
      </c>
      <c r="E4" s="89" t="s">
        <v>40</v>
      </c>
      <c r="F4" s="92">
        <v>2.1875000000000002E-3</v>
      </c>
    </row>
    <row r="5" spans="1:6" ht="22" customHeight="1" x14ac:dyDescent="0.2">
      <c r="A5" s="93">
        <v>2</v>
      </c>
      <c r="B5" s="94" t="s">
        <v>124</v>
      </c>
      <c r="C5" s="95" t="s">
        <v>2</v>
      </c>
      <c r="D5" s="96" t="s">
        <v>3</v>
      </c>
      <c r="E5" s="94" t="s">
        <v>44</v>
      </c>
      <c r="F5" s="97">
        <v>2.2569444444444438E-3</v>
      </c>
    </row>
    <row r="6" spans="1:6" ht="17" customHeight="1" x14ac:dyDescent="0.2">
      <c r="A6" s="93">
        <v>3</v>
      </c>
      <c r="B6" s="94" t="s">
        <v>95</v>
      </c>
      <c r="C6" s="95" t="s">
        <v>2</v>
      </c>
      <c r="D6" s="96" t="s">
        <v>3</v>
      </c>
      <c r="E6" s="94" t="s">
        <v>40</v>
      </c>
      <c r="F6" s="97">
        <v>2.650462962962963E-3</v>
      </c>
    </row>
    <row r="7" spans="1:6" ht="17" customHeight="1" x14ac:dyDescent="0.2">
      <c r="A7" s="93">
        <v>4</v>
      </c>
      <c r="B7" s="94" t="s">
        <v>128</v>
      </c>
      <c r="C7" s="95" t="s">
        <v>2</v>
      </c>
      <c r="D7" s="96" t="s">
        <v>3</v>
      </c>
      <c r="E7" s="94" t="s">
        <v>40</v>
      </c>
      <c r="F7" s="97">
        <v>2.0833333333333329E-3</v>
      </c>
    </row>
    <row r="8" spans="1:6" ht="17" customHeight="1" x14ac:dyDescent="0.2">
      <c r="A8" s="93">
        <v>5</v>
      </c>
      <c r="B8" s="94" t="s">
        <v>100</v>
      </c>
      <c r="C8" s="95" t="s">
        <v>2</v>
      </c>
      <c r="D8" s="96" t="s">
        <v>3</v>
      </c>
      <c r="E8" s="94" t="s">
        <v>44</v>
      </c>
      <c r="F8" s="97">
        <v>2.0486111111111109E-3</v>
      </c>
    </row>
    <row r="9" spans="1:6" ht="17" customHeight="1" x14ac:dyDescent="0.2">
      <c r="A9" s="93">
        <v>6</v>
      </c>
      <c r="B9" s="94" t="s">
        <v>51</v>
      </c>
      <c r="C9" s="95" t="s">
        <v>2</v>
      </c>
      <c r="D9" s="96" t="s">
        <v>3</v>
      </c>
      <c r="E9" s="94" t="s">
        <v>40</v>
      </c>
      <c r="F9" s="97">
        <v>3.414351851851852E-3</v>
      </c>
    </row>
    <row r="10" spans="1:6" ht="17" customHeight="1" x14ac:dyDescent="0.2">
      <c r="A10" s="93">
        <v>7</v>
      </c>
      <c r="B10" s="94" t="s">
        <v>72</v>
      </c>
      <c r="C10" s="95" t="s">
        <v>2</v>
      </c>
      <c r="D10" s="96" t="s">
        <v>3</v>
      </c>
      <c r="E10" s="94" t="s">
        <v>44</v>
      </c>
      <c r="F10" s="97">
        <v>2.488425925925926E-3</v>
      </c>
    </row>
    <row r="11" spans="1:6" ht="17" customHeight="1" x14ac:dyDescent="0.2">
      <c r="A11" s="93">
        <v>8</v>
      </c>
      <c r="B11" s="94" t="s">
        <v>102</v>
      </c>
      <c r="C11" s="95" t="s">
        <v>2</v>
      </c>
      <c r="D11" s="96" t="s">
        <v>3</v>
      </c>
      <c r="E11" s="94" t="s">
        <v>35</v>
      </c>
      <c r="F11" s="97">
        <v>3.5995370370370369E-3</v>
      </c>
    </row>
    <row r="12" spans="1:6" ht="17" customHeight="1" x14ac:dyDescent="0.2">
      <c r="A12" s="93">
        <v>9</v>
      </c>
      <c r="B12" s="94" t="s">
        <v>137</v>
      </c>
      <c r="C12" s="95" t="s">
        <v>2</v>
      </c>
      <c r="D12" s="96" t="s">
        <v>3</v>
      </c>
      <c r="E12" s="94" t="s">
        <v>40</v>
      </c>
      <c r="F12" s="97">
        <v>2.0949074074074069E-3</v>
      </c>
    </row>
    <row r="13" spans="1:6" ht="17" customHeight="1" x14ac:dyDescent="0.2">
      <c r="A13" s="93">
        <v>10</v>
      </c>
      <c r="B13" s="94" t="s">
        <v>46</v>
      </c>
      <c r="C13" s="98" t="s">
        <v>2</v>
      </c>
      <c r="D13" s="99" t="s">
        <v>3</v>
      </c>
      <c r="E13" s="94" t="s">
        <v>35</v>
      </c>
      <c r="F13" s="97">
        <v>2.5810185185185189E-3</v>
      </c>
    </row>
    <row r="14" spans="1:6" ht="17" customHeight="1" x14ac:dyDescent="0.2">
      <c r="A14" s="93">
        <v>11</v>
      </c>
      <c r="B14" s="94" t="s">
        <v>98</v>
      </c>
      <c r="C14" s="95" t="s">
        <v>2</v>
      </c>
      <c r="D14" s="96" t="s">
        <v>3</v>
      </c>
      <c r="E14" s="94" t="s">
        <v>44</v>
      </c>
      <c r="F14" s="97">
        <v>2.8587962962962959E-3</v>
      </c>
    </row>
    <row r="15" spans="1:6" ht="17" customHeight="1" x14ac:dyDescent="0.2">
      <c r="A15" s="93">
        <v>12</v>
      </c>
      <c r="B15" s="94" t="s">
        <v>77</v>
      </c>
      <c r="C15" s="95" t="s">
        <v>2</v>
      </c>
      <c r="D15" s="96" t="s">
        <v>3</v>
      </c>
      <c r="E15" s="94" t="s">
        <v>40</v>
      </c>
      <c r="F15" s="97">
        <v>2.430555555555556E-3</v>
      </c>
    </row>
    <row r="16" spans="1:6" ht="17" customHeight="1" x14ac:dyDescent="0.2">
      <c r="A16" s="93">
        <v>13</v>
      </c>
      <c r="B16" s="94" t="s">
        <v>97</v>
      </c>
      <c r="C16" s="95" t="s">
        <v>2</v>
      </c>
      <c r="D16" s="96" t="s">
        <v>3</v>
      </c>
      <c r="E16" s="94" t="s">
        <v>55</v>
      </c>
      <c r="F16" s="97">
        <v>3.0439814814814808E-3</v>
      </c>
    </row>
    <row r="17" spans="1:6" ht="17" customHeight="1" x14ac:dyDescent="0.2">
      <c r="A17" s="93">
        <v>14</v>
      </c>
      <c r="B17" s="94" t="s">
        <v>131</v>
      </c>
      <c r="C17" s="95" t="s">
        <v>2</v>
      </c>
      <c r="D17" s="96" t="s">
        <v>3</v>
      </c>
      <c r="E17" s="94" t="s">
        <v>44</v>
      </c>
      <c r="F17" s="97">
        <v>3.3217592592592591E-3</v>
      </c>
    </row>
    <row r="18" spans="1:6" ht="17" customHeight="1" x14ac:dyDescent="0.2">
      <c r="A18" s="148" t="s">
        <v>169</v>
      </c>
      <c r="B18" s="149"/>
      <c r="C18" s="149"/>
      <c r="D18" s="149"/>
      <c r="E18" s="149"/>
      <c r="F18" s="150"/>
    </row>
    <row r="19" spans="1:6" ht="17" customHeight="1" x14ac:dyDescent="0.2">
      <c r="A19" s="93">
        <v>15</v>
      </c>
      <c r="B19" s="94" t="s">
        <v>48</v>
      </c>
      <c r="C19" s="100" t="s">
        <v>2</v>
      </c>
      <c r="D19" s="101" t="s">
        <v>3</v>
      </c>
      <c r="E19" s="94" t="s">
        <v>35</v>
      </c>
      <c r="F19" s="97">
        <v>2.719907407407407E-3</v>
      </c>
    </row>
    <row r="20" spans="1:6" ht="17" customHeight="1" x14ac:dyDescent="0.2">
      <c r="A20" s="102">
        <v>16</v>
      </c>
      <c r="B20" s="94" t="s">
        <v>70</v>
      </c>
      <c r="C20" s="95" t="s">
        <v>2</v>
      </c>
      <c r="D20" s="96" t="s">
        <v>3</v>
      </c>
      <c r="E20" s="94" t="s">
        <v>40</v>
      </c>
      <c r="F20" s="97">
        <v>2.7893518518518519E-3</v>
      </c>
    </row>
    <row r="21" spans="1:6" ht="17" customHeight="1" x14ac:dyDescent="0.2">
      <c r="A21" s="103">
        <v>17</v>
      </c>
      <c r="B21" s="94" t="s">
        <v>114</v>
      </c>
      <c r="C21" s="95" t="s">
        <v>2</v>
      </c>
      <c r="D21" s="96" t="s">
        <v>3</v>
      </c>
      <c r="E21" s="94" t="s">
        <v>44</v>
      </c>
      <c r="F21" s="97">
        <v>3.368055555555556E-3</v>
      </c>
    </row>
    <row r="22" spans="1:6" ht="17" customHeight="1" x14ac:dyDescent="0.2">
      <c r="A22" s="93">
        <v>18</v>
      </c>
      <c r="B22" s="94" t="s">
        <v>107</v>
      </c>
      <c r="C22" s="95" t="s">
        <v>2</v>
      </c>
      <c r="D22" s="96" t="s">
        <v>3</v>
      </c>
      <c r="E22" s="94" t="s">
        <v>35</v>
      </c>
      <c r="F22" s="97">
        <v>2.9513888888888888E-3</v>
      </c>
    </row>
    <row r="23" spans="1:6" ht="17" customHeight="1" x14ac:dyDescent="0.2">
      <c r="A23" s="93">
        <v>19</v>
      </c>
      <c r="B23" s="94" t="s">
        <v>79</v>
      </c>
      <c r="C23" s="95" t="s">
        <v>2</v>
      </c>
      <c r="D23" s="96" t="s">
        <v>3</v>
      </c>
      <c r="E23" s="94" t="s">
        <v>44</v>
      </c>
      <c r="F23" s="97">
        <v>2.604166666666667E-3</v>
      </c>
    </row>
    <row r="24" spans="1:6" ht="17" customHeight="1" x14ac:dyDescent="0.2">
      <c r="A24" s="93">
        <v>20</v>
      </c>
      <c r="B24" s="94" t="s">
        <v>105</v>
      </c>
      <c r="C24" s="95" t="s">
        <v>2</v>
      </c>
      <c r="D24" s="96" t="s">
        <v>3</v>
      </c>
      <c r="E24" s="94" t="s">
        <v>40</v>
      </c>
      <c r="F24" s="97">
        <v>3.2291666666666671E-3</v>
      </c>
    </row>
    <row r="25" spans="1:6" ht="17" customHeight="1" x14ac:dyDescent="0.2">
      <c r="A25" s="93">
        <v>21</v>
      </c>
      <c r="B25" s="94" t="s">
        <v>61</v>
      </c>
      <c r="C25" s="95" t="s">
        <v>2</v>
      </c>
      <c r="D25" s="96" t="s">
        <v>3</v>
      </c>
      <c r="E25" s="94" t="s">
        <v>35</v>
      </c>
      <c r="F25" s="104">
        <v>2.743055555555555E-3</v>
      </c>
    </row>
    <row r="26" spans="1:6" ht="17" customHeight="1" x14ac:dyDescent="0.2">
      <c r="A26" s="93">
        <v>22</v>
      </c>
      <c r="B26" s="94" t="s">
        <v>116</v>
      </c>
      <c r="C26" s="95" t="s">
        <v>2</v>
      </c>
      <c r="D26" s="96" t="s">
        <v>3</v>
      </c>
      <c r="E26" s="94" t="s">
        <v>44</v>
      </c>
      <c r="F26" s="97">
        <v>2.604166666666667E-3</v>
      </c>
    </row>
    <row r="27" spans="1:6" ht="17" customHeight="1" x14ac:dyDescent="0.2">
      <c r="A27" s="93">
        <v>23</v>
      </c>
      <c r="B27" s="94" t="s">
        <v>93</v>
      </c>
      <c r="C27" s="95" t="s">
        <v>2</v>
      </c>
      <c r="D27" s="96" t="s">
        <v>3</v>
      </c>
      <c r="E27" s="94" t="s">
        <v>55</v>
      </c>
      <c r="F27" s="97">
        <v>1.9791666666666668E-3</v>
      </c>
    </row>
    <row r="28" spans="1:6" ht="17" customHeight="1" x14ac:dyDescent="0.2">
      <c r="A28" s="93">
        <v>24</v>
      </c>
      <c r="B28" s="94" t="s">
        <v>85</v>
      </c>
      <c r="C28" s="95" t="s">
        <v>2</v>
      </c>
      <c r="D28" s="96" t="s">
        <v>3</v>
      </c>
      <c r="E28" s="94" t="s">
        <v>35</v>
      </c>
      <c r="F28" s="97">
        <v>2.5810185185185189E-3</v>
      </c>
    </row>
    <row r="29" spans="1:6" ht="18" customHeight="1" x14ac:dyDescent="0.2">
      <c r="A29" s="93">
        <v>25</v>
      </c>
      <c r="B29" s="105" t="s">
        <v>81</v>
      </c>
      <c r="C29" s="106" t="s">
        <v>2</v>
      </c>
      <c r="D29" s="107" t="s">
        <v>3</v>
      </c>
      <c r="E29" s="105" t="s">
        <v>35</v>
      </c>
      <c r="F29" s="108">
        <v>4.6874999999999998E-3</v>
      </c>
    </row>
    <row r="30" spans="1:6" ht="18" customHeight="1" thickBot="1" x14ac:dyDescent="0.25">
      <c r="A30" s="93">
        <v>26</v>
      </c>
      <c r="B30" s="94" t="s">
        <v>111</v>
      </c>
      <c r="C30" s="95" t="s">
        <v>2</v>
      </c>
      <c r="D30" s="96" t="s">
        <v>3</v>
      </c>
      <c r="E30" s="94" t="s">
        <v>40</v>
      </c>
      <c r="F30" s="97">
        <v>5.9606481481481481E-3</v>
      </c>
    </row>
    <row r="31" spans="1:6" ht="18" customHeight="1" thickBot="1" x14ac:dyDescent="0.25">
      <c r="A31" s="54"/>
      <c r="B31" s="55" t="s">
        <v>170</v>
      </c>
      <c r="C31" s="55"/>
      <c r="D31" s="55"/>
      <c r="E31" s="55"/>
      <c r="F31" s="56">
        <f>SUM(F4:F17,F19:F30)</f>
        <v>7.5277777777777763E-2</v>
      </c>
    </row>
  </sheetData>
  <mergeCells count="3">
    <mergeCell ref="A2:F2"/>
    <mergeCell ref="A1:F1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00000000-0004-0000-0200-000000000000}"/>
    <hyperlink ref="D4" r:id="rId2" xr:uid="{00000000-0004-0000-0200-000001000000}"/>
    <hyperlink ref="C5" r:id="rId3" xr:uid="{00000000-0004-0000-0200-000002000000}"/>
    <hyperlink ref="D5" r:id="rId4" xr:uid="{00000000-0004-0000-0200-000003000000}"/>
    <hyperlink ref="C6" r:id="rId5" xr:uid="{00000000-0004-0000-0200-000004000000}"/>
    <hyperlink ref="D6" r:id="rId6" xr:uid="{00000000-0004-0000-0200-000005000000}"/>
    <hyperlink ref="C7" r:id="rId7" xr:uid="{00000000-0004-0000-0200-000006000000}"/>
    <hyperlink ref="D7" r:id="rId8" xr:uid="{00000000-0004-0000-0200-000007000000}"/>
    <hyperlink ref="C8" r:id="rId9" xr:uid="{00000000-0004-0000-0200-000008000000}"/>
    <hyperlink ref="D8" r:id="rId10" xr:uid="{00000000-0004-0000-0200-000009000000}"/>
    <hyperlink ref="C9" r:id="rId11" xr:uid="{00000000-0004-0000-0200-00000A000000}"/>
    <hyperlink ref="D9" r:id="rId12" xr:uid="{00000000-0004-0000-0200-00000B000000}"/>
    <hyperlink ref="C10" r:id="rId13" xr:uid="{00000000-0004-0000-0200-00000C000000}"/>
    <hyperlink ref="D10" r:id="rId14" xr:uid="{00000000-0004-0000-0200-00000D000000}"/>
    <hyperlink ref="C11" r:id="rId15" xr:uid="{00000000-0004-0000-0200-00000E000000}"/>
    <hyperlink ref="D11" r:id="rId16" xr:uid="{00000000-0004-0000-0200-00000F000000}"/>
    <hyperlink ref="C12" r:id="rId17" xr:uid="{00000000-0004-0000-0200-000010000000}"/>
    <hyperlink ref="D12" r:id="rId18" xr:uid="{00000000-0004-0000-0200-000011000000}"/>
    <hyperlink ref="C13" r:id="rId19" xr:uid="{00000000-0004-0000-0200-000012000000}"/>
    <hyperlink ref="D13" r:id="rId20" xr:uid="{00000000-0004-0000-0200-000013000000}"/>
    <hyperlink ref="C14" r:id="rId21" xr:uid="{00000000-0004-0000-0200-000014000000}"/>
    <hyperlink ref="D14" r:id="rId22" xr:uid="{00000000-0004-0000-0200-000015000000}"/>
    <hyperlink ref="C15" r:id="rId23" xr:uid="{00000000-0004-0000-0200-000016000000}"/>
    <hyperlink ref="D15" r:id="rId24" xr:uid="{00000000-0004-0000-0200-000017000000}"/>
    <hyperlink ref="C16" r:id="rId25" xr:uid="{00000000-0004-0000-0200-000018000000}"/>
    <hyperlink ref="D16" r:id="rId26" xr:uid="{00000000-0004-0000-0200-000019000000}"/>
    <hyperlink ref="C17" r:id="rId27" xr:uid="{00000000-0004-0000-0200-00001A000000}"/>
    <hyperlink ref="D17" r:id="rId28" xr:uid="{00000000-0004-0000-0200-00001B000000}"/>
    <hyperlink ref="C19" r:id="rId29" xr:uid="{00000000-0004-0000-0200-00001C000000}"/>
    <hyperlink ref="D19" r:id="rId30" xr:uid="{00000000-0004-0000-0200-00001D000000}"/>
    <hyperlink ref="C20" r:id="rId31" xr:uid="{00000000-0004-0000-0200-00001E000000}"/>
    <hyperlink ref="D20" r:id="rId32" xr:uid="{00000000-0004-0000-0200-00001F000000}"/>
    <hyperlink ref="C21" r:id="rId33" xr:uid="{00000000-0004-0000-0200-000020000000}"/>
    <hyperlink ref="D21" r:id="rId34" xr:uid="{00000000-0004-0000-0200-000021000000}"/>
    <hyperlink ref="C22" r:id="rId35" xr:uid="{00000000-0004-0000-0200-000022000000}"/>
    <hyperlink ref="D22" r:id="rId36" xr:uid="{00000000-0004-0000-0200-000023000000}"/>
    <hyperlink ref="C23" r:id="rId37" xr:uid="{00000000-0004-0000-0200-000024000000}"/>
    <hyperlink ref="D23" r:id="rId38" xr:uid="{00000000-0004-0000-0200-000025000000}"/>
    <hyperlink ref="C24" r:id="rId39" xr:uid="{00000000-0004-0000-0200-000026000000}"/>
    <hyperlink ref="D24" r:id="rId40" xr:uid="{00000000-0004-0000-0200-000027000000}"/>
    <hyperlink ref="C25" r:id="rId41" xr:uid="{00000000-0004-0000-0200-000028000000}"/>
    <hyperlink ref="D25" r:id="rId42" xr:uid="{00000000-0004-0000-0200-000029000000}"/>
    <hyperlink ref="C26" r:id="rId43" xr:uid="{00000000-0004-0000-0200-00002A000000}"/>
    <hyperlink ref="D26" r:id="rId44" xr:uid="{00000000-0004-0000-0200-00002B000000}"/>
    <hyperlink ref="C27" r:id="rId45" xr:uid="{00000000-0004-0000-0200-00002C000000}"/>
    <hyperlink ref="D27" r:id="rId46" xr:uid="{00000000-0004-0000-0200-00002D000000}"/>
    <hyperlink ref="C28" r:id="rId47" xr:uid="{00000000-0004-0000-0200-00002E000000}"/>
    <hyperlink ref="D28" r:id="rId48" xr:uid="{00000000-0004-0000-0200-00002F000000}"/>
    <hyperlink ref="C29" r:id="rId49" xr:uid="{00000000-0004-0000-0200-000030000000}"/>
    <hyperlink ref="D29" r:id="rId50" xr:uid="{00000000-0004-0000-0200-000031000000}"/>
    <hyperlink ref="C30" r:id="rId51" xr:uid="{00000000-0004-0000-0200-000032000000}"/>
    <hyperlink ref="D30" r:id="rId52" xr:uid="{00000000-0004-0000-0200-000033000000}"/>
  </hyperlink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 x14ac:dyDescent="0.2"/>
  <cols>
    <col min="1" max="1" width="4.83203125" style="8" customWidth="1"/>
    <col min="2" max="2" width="23.6640625" bestFit="1" customWidth="1"/>
    <col min="3" max="4" width="5.1640625" style="8" bestFit="1" customWidth="1"/>
    <col min="5" max="5" width="9.1640625" customWidth="1"/>
    <col min="6" max="6" width="11.83203125" style="8" customWidth="1"/>
  </cols>
  <sheetData>
    <row r="1" spans="1:6" ht="50" customHeight="1" thickBot="1" x14ac:dyDescent="0.7">
      <c r="A1" s="154" t="s">
        <v>91</v>
      </c>
      <c r="B1" s="155"/>
      <c r="C1" s="155"/>
      <c r="D1" s="155"/>
      <c r="E1" s="155"/>
      <c r="F1" s="156"/>
    </row>
    <row r="2" spans="1:6" ht="18" customHeight="1" thickBot="1" x14ac:dyDescent="0.25">
      <c r="A2" s="151" t="s">
        <v>171</v>
      </c>
      <c r="B2" s="152"/>
      <c r="C2" s="152"/>
      <c r="D2" s="152"/>
      <c r="E2" s="152"/>
      <c r="F2" s="153"/>
    </row>
    <row r="3" spans="1:6" ht="18" customHeight="1" thickBot="1" x14ac:dyDescent="0.25">
      <c r="A3" s="72" t="s">
        <v>167</v>
      </c>
      <c r="B3" s="73" t="s">
        <v>1</v>
      </c>
      <c r="C3" s="73" t="s">
        <v>2</v>
      </c>
      <c r="D3" s="73" t="s">
        <v>3</v>
      </c>
      <c r="E3" s="73" t="s">
        <v>168</v>
      </c>
      <c r="F3" s="74" t="s">
        <v>6</v>
      </c>
    </row>
    <row r="4" spans="1:6" ht="17" customHeight="1" x14ac:dyDescent="0.25">
      <c r="A4" s="65">
        <v>1</v>
      </c>
      <c r="B4" s="64" t="s">
        <v>56</v>
      </c>
      <c r="C4" s="76" t="s">
        <v>2</v>
      </c>
      <c r="D4" s="76" t="s">
        <v>3</v>
      </c>
      <c r="E4" s="64" t="s">
        <v>40</v>
      </c>
      <c r="F4" s="66">
        <f>VLOOKUP(B4,'Song Tracker'!$A$3:$F$49,6,FALSE)</f>
        <v>2.1875000000000002E-3</v>
      </c>
    </row>
    <row r="5" spans="1:6" ht="17" customHeight="1" x14ac:dyDescent="0.25">
      <c r="A5" s="67">
        <v>2</v>
      </c>
      <c r="B5" s="77" t="s">
        <v>107</v>
      </c>
      <c r="C5" s="78" t="s">
        <v>2</v>
      </c>
      <c r="D5" s="78" t="s">
        <v>3</v>
      </c>
      <c r="E5" s="77" t="s">
        <v>35</v>
      </c>
      <c r="F5" s="79">
        <f>VLOOKUP(B5,'Song Tracker'!$A$3:$F$49,6,FALSE)</f>
        <v>2.9513888888888888E-3</v>
      </c>
    </row>
    <row r="6" spans="1:6" ht="17" customHeight="1" x14ac:dyDescent="0.25">
      <c r="A6" s="69">
        <v>3</v>
      </c>
      <c r="B6" s="62" t="s">
        <v>51</v>
      </c>
      <c r="C6" s="80" t="s">
        <v>2</v>
      </c>
      <c r="D6" s="80" t="s">
        <v>3</v>
      </c>
      <c r="E6" s="62" t="s">
        <v>40</v>
      </c>
      <c r="F6" s="68">
        <f>VLOOKUP(B6,'Song Tracker'!$A$3:$F$49,6,FALSE)</f>
        <v>3.414351851851852E-3</v>
      </c>
    </row>
    <row r="7" spans="1:6" ht="17" customHeight="1" x14ac:dyDescent="0.25">
      <c r="A7" s="67">
        <v>4</v>
      </c>
      <c r="B7" s="77" t="s">
        <v>79</v>
      </c>
      <c r="C7" s="78" t="s">
        <v>2</v>
      </c>
      <c r="D7" s="78" t="s">
        <v>3</v>
      </c>
      <c r="E7" s="77" t="s">
        <v>44</v>
      </c>
      <c r="F7" s="79">
        <f>VLOOKUP(B7,'Song Tracker'!$A$3:$F$49,6,FALSE)</f>
        <v>2.604166666666667E-3</v>
      </c>
    </row>
    <row r="8" spans="1:6" ht="17" customHeight="1" x14ac:dyDescent="0.25">
      <c r="A8" s="69">
        <v>5</v>
      </c>
      <c r="B8" s="62" t="s">
        <v>77</v>
      </c>
      <c r="C8" s="80" t="s">
        <v>2</v>
      </c>
      <c r="D8" s="80" t="s">
        <v>3</v>
      </c>
      <c r="E8" s="62" t="s">
        <v>40</v>
      </c>
      <c r="F8" s="68">
        <f>VLOOKUP(B8,'Song Tracker'!$A$3:$F$49,6,FALSE)</f>
        <v>2.430555555555556E-3</v>
      </c>
    </row>
    <row r="9" spans="1:6" ht="17" customHeight="1" x14ac:dyDescent="0.25">
      <c r="A9" s="67">
        <v>6</v>
      </c>
      <c r="B9" s="77" t="s">
        <v>85</v>
      </c>
      <c r="C9" s="78" t="s">
        <v>2</v>
      </c>
      <c r="D9" s="78" t="s">
        <v>3</v>
      </c>
      <c r="E9" s="77" t="s">
        <v>35</v>
      </c>
      <c r="F9" s="79">
        <f>VLOOKUP(B9,'Song Tracker'!$A$3:$F$49,6,FALSE)</f>
        <v>2.5810185185185189E-3</v>
      </c>
    </row>
    <row r="10" spans="1:6" ht="17" customHeight="1" x14ac:dyDescent="0.25">
      <c r="A10" s="69">
        <v>7</v>
      </c>
      <c r="B10" s="62" t="s">
        <v>116</v>
      </c>
      <c r="C10" s="80" t="s">
        <v>2</v>
      </c>
      <c r="D10" s="80" t="s">
        <v>3</v>
      </c>
      <c r="E10" s="62" t="s">
        <v>44</v>
      </c>
      <c r="F10" s="68">
        <f>VLOOKUP(B10,'Song Tracker'!$A$3:$F$49,6,FALSE)</f>
        <v>2.604166666666667E-3</v>
      </c>
    </row>
    <row r="11" spans="1:6" ht="17" customHeight="1" x14ac:dyDescent="0.25">
      <c r="A11" s="67">
        <v>8</v>
      </c>
      <c r="B11" s="77" t="s">
        <v>93</v>
      </c>
      <c r="C11" s="78" t="s">
        <v>2</v>
      </c>
      <c r="D11" s="78" t="s">
        <v>3</v>
      </c>
      <c r="E11" s="77" t="s">
        <v>55</v>
      </c>
      <c r="F11" s="79">
        <f>VLOOKUP(B11,'Song Tracker'!$A$3:$F$49,6,FALSE)</f>
        <v>1.9791666666666668E-3</v>
      </c>
    </row>
    <row r="12" spans="1:6" ht="17" customHeight="1" x14ac:dyDescent="0.25">
      <c r="A12" s="69">
        <v>9</v>
      </c>
      <c r="B12" s="62" t="s">
        <v>114</v>
      </c>
      <c r="C12" s="80" t="s">
        <v>2</v>
      </c>
      <c r="D12" s="80" t="s">
        <v>3</v>
      </c>
      <c r="E12" s="62" t="s">
        <v>44</v>
      </c>
      <c r="F12" s="68">
        <f>VLOOKUP(B12,'Song Tracker'!$A$3:$F$49,6,FALSE)</f>
        <v>3.368055555555556E-3</v>
      </c>
    </row>
    <row r="13" spans="1:6" ht="17" customHeight="1" x14ac:dyDescent="0.25">
      <c r="A13" s="67">
        <v>10</v>
      </c>
      <c r="B13" s="77" t="s">
        <v>70</v>
      </c>
      <c r="C13" s="78" t="s">
        <v>2</v>
      </c>
      <c r="D13" s="78" t="s">
        <v>3</v>
      </c>
      <c r="E13" s="77" t="s">
        <v>40</v>
      </c>
      <c r="F13" s="79">
        <f>VLOOKUP(B13,'Song Tracker'!$A$3:$F$49,6,FALSE)</f>
        <v>2.7893518518518519E-3</v>
      </c>
    </row>
    <row r="14" spans="1:6" ht="17" customHeight="1" x14ac:dyDescent="0.25">
      <c r="A14" s="69">
        <v>11</v>
      </c>
      <c r="B14" s="62" t="s">
        <v>46</v>
      </c>
      <c r="C14" s="80" t="s">
        <v>2</v>
      </c>
      <c r="D14" s="80" t="s">
        <v>3</v>
      </c>
      <c r="E14" s="62" t="s">
        <v>35</v>
      </c>
      <c r="F14" s="68">
        <f>VLOOKUP(B14,'Song Tracker'!$A$3:$F$49,6,FALSE)</f>
        <v>2.5810185185185189E-3</v>
      </c>
    </row>
    <row r="15" spans="1:6" ht="17" customHeight="1" x14ac:dyDescent="0.25">
      <c r="A15" s="67">
        <v>12</v>
      </c>
      <c r="B15" s="77" t="s">
        <v>98</v>
      </c>
      <c r="C15" s="78" t="s">
        <v>2</v>
      </c>
      <c r="D15" s="78" t="s">
        <v>3</v>
      </c>
      <c r="E15" s="77" t="s">
        <v>44</v>
      </c>
      <c r="F15" s="79">
        <f>VLOOKUP(B15,'Song Tracker'!$A$3:$F$49,6,FALSE)</f>
        <v>2.8587962962962959E-3</v>
      </c>
    </row>
    <row r="16" spans="1:6" ht="17" customHeight="1" x14ac:dyDescent="0.25">
      <c r="A16" s="69">
        <v>13</v>
      </c>
      <c r="B16" s="62" t="s">
        <v>137</v>
      </c>
      <c r="C16" s="80" t="s">
        <v>2</v>
      </c>
      <c r="D16" s="80" t="s">
        <v>3</v>
      </c>
      <c r="E16" s="62" t="s">
        <v>40</v>
      </c>
      <c r="F16" s="68">
        <f>VLOOKUP(B16,'Song Tracker'!$A$3:$F$49,6,FALSE)</f>
        <v>2.0949074074074069E-3</v>
      </c>
    </row>
    <row r="17" spans="1:6" ht="17" customHeight="1" x14ac:dyDescent="0.25">
      <c r="A17" s="67">
        <v>14</v>
      </c>
      <c r="B17" s="77" t="s">
        <v>61</v>
      </c>
      <c r="C17" s="78" t="s">
        <v>2</v>
      </c>
      <c r="D17" s="78" t="s">
        <v>3</v>
      </c>
      <c r="E17" s="77" t="s">
        <v>35</v>
      </c>
      <c r="F17" s="79">
        <f>VLOOKUP(B17,'Song Tracker'!$A$3:$F$49,6,FALSE)</f>
        <v>2.743055555555555E-3</v>
      </c>
    </row>
    <row r="18" spans="1:6" ht="18" customHeight="1" thickBot="1" x14ac:dyDescent="0.3">
      <c r="A18" s="70">
        <v>15</v>
      </c>
      <c r="B18" s="63" t="s">
        <v>131</v>
      </c>
      <c r="C18" s="81" t="s">
        <v>2</v>
      </c>
      <c r="D18" s="81" t="s">
        <v>3</v>
      </c>
      <c r="E18" s="63" t="s">
        <v>44</v>
      </c>
      <c r="F18" s="71">
        <f>VLOOKUP(B18,'Song Tracker'!$A$3:$F$49,6,FALSE)</f>
        <v>3.3217592592592591E-3</v>
      </c>
    </row>
    <row r="19" spans="1:6" ht="18" customHeight="1" thickBot="1" x14ac:dyDescent="0.3">
      <c r="A19" s="61"/>
      <c r="B19" s="157" t="s">
        <v>170</v>
      </c>
      <c r="C19" s="155"/>
      <c r="D19" s="155"/>
      <c r="E19" s="155"/>
      <c r="F19" s="75">
        <f>SUM(F4:F18)</f>
        <v>4.0509259259259259E-2</v>
      </c>
    </row>
  </sheetData>
  <mergeCells count="3">
    <mergeCell ref="A2:F2"/>
    <mergeCell ref="A1:F1"/>
    <mergeCell ref="B19:E19"/>
  </mergeCells>
  <hyperlinks>
    <hyperlink ref="C4" r:id="rId1" xr:uid="{00000000-0004-0000-0300-000000000000}"/>
    <hyperlink ref="D4" r:id="rId2" xr:uid="{00000000-0004-0000-0300-000001000000}"/>
    <hyperlink ref="C5" r:id="rId3" xr:uid="{00000000-0004-0000-0300-000002000000}"/>
    <hyperlink ref="D5" r:id="rId4" xr:uid="{00000000-0004-0000-0300-000003000000}"/>
    <hyperlink ref="C6" r:id="rId5" xr:uid="{00000000-0004-0000-0300-000004000000}"/>
    <hyperlink ref="D6" r:id="rId6" xr:uid="{00000000-0004-0000-0300-000005000000}"/>
    <hyperlink ref="C7" r:id="rId7" xr:uid="{00000000-0004-0000-0300-000006000000}"/>
    <hyperlink ref="D7" r:id="rId8" xr:uid="{00000000-0004-0000-0300-000007000000}"/>
    <hyperlink ref="C8" r:id="rId9" xr:uid="{00000000-0004-0000-0300-000008000000}"/>
    <hyperlink ref="D8" r:id="rId10" xr:uid="{00000000-0004-0000-0300-000009000000}"/>
    <hyperlink ref="C9" r:id="rId11" xr:uid="{00000000-0004-0000-0300-00000A000000}"/>
    <hyperlink ref="D9" r:id="rId12" xr:uid="{00000000-0004-0000-0300-00000B000000}"/>
    <hyperlink ref="C10" r:id="rId13" xr:uid="{00000000-0004-0000-0300-00000C000000}"/>
    <hyperlink ref="D10" r:id="rId14" xr:uid="{00000000-0004-0000-0300-00000D000000}"/>
    <hyperlink ref="C11" r:id="rId15" xr:uid="{00000000-0004-0000-0300-00000E000000}"/>
    <hyperlink ref="D11" r:id="rId16" xr:uid="{00000000-0004-0000-0300-00000F000000}"/>
    <hyperlink ref="C12" r:id="rId17" xr:uid="{00000000-0004-0000-0300-000010000000}"/>
    <hyperlink ref="D12" r:id="rId18" xr:uid="{00000000-0004-0000-0300-000011000000}"/>
    <hyperlink ref="C13" r:id="rId19" xr:uid="{00000000-0004-0000-0300-000012000000}"/>
    <hyperlink ref="D13" r:id="rId20" xr:uid="{00000000-0004-0000-0300-000013000000}"/>
    <hyperlink ref="C14" r:id="rId21" xr:uid="{00000000-0004-0000-0300-000014000000}"/>
    <hyperlink ref="D14" r:id="rId22" xr:uid="{00000000-0004-0000-0300-000015000000}"/>
    <hyperlink ref="C15" r:id="rId23" xr:uid="{00000000-0004-0000-0300-000016000000}"/>
    <hyperlink ref="D15" r:id="rId24" xr:uid="{00000000-0004-0000-0300-000017000000}"/>
    <hyperlink ref="C16" r:id="rId25" xr:uid="{00000000-0004-0000-0300-000018000000}"/>
    <hyperlink ref="D16" r:id="rId26" xr:uid="{00000000-0004-0000-0300-000019000000}"/>
    <hyperlink ref="C17" r:id="rId27" xr:uid="{00000000-0004-0000-0300-00001A000000}"/>
    <hyperlink ref="D17" r:id="rId28" xr:uid="{00000000-0004-0000-0300-00001B000000}"/>
    <hyperlink ref="C18" r:id="rId29" xr:uid="{00000000-0004-0000-0300-00001C000000}"/>
    <hyperlink ref="D18" r:id="rId30" xr:uid="{00000000-0004-0000-0300-00001D000000}"/>
  </hyperlinks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 x14ac:dyDescent="0.2"/>
  <cols>
    <col min="1" max="1" width="4.83203125" style="8" customWidth="1"/>
    <col min="2" max="2" width="30.83203125" bestFit="1" customWidth="1"/>
    <col min="3" max="4" width="7.5" style="8" customWidth="1"/>
    <col min="5" max="5" width="9.1640625" bestFit="1" customWidth="1"/>
    <col min="6" max="6" width="11.83203125" style="8" bestFit="1" customWidth="1"/>
  </cols>
  <sheetData>
    <row r="1" spans="1:6" ht="30" customHeight="1" x14ac:dyDescent="0.2">
      <c r="A1" s="158" t="s">
        <v>172</v>
      </c>
      <c r="B1" s="152"/>
      <c r="C1" s="152"/>
      <c r="D1" s="152"/>
      <c r="E1" s="152"/>
      <c r="F1" s="159"/>
    </row>
    <row r="2" spans="1:6" ht="22" customHeight="1" thickBot="1" x14ac:dyDescent="0.25">
      <c r="A2" s="35" t="s">
        <v>167</v>
      </c>
      <c r="B2" s="36" t="s">
        <v>1</v>
      </c>
      <c r="C2" s="36" t="s">
        <v>2</v>
      </c>
      <c r="D2" s="36" t="s">
        <v>3</v>
      </c>
      <c r="E2" s="36" t="s">
        <v>168</v>
      </c>
      <c r="F2" s="37" t="s">
        <v>6</v>
      </c>
    </row>
    <row r="3" spans="1:6" ht="22" customHeight="1" x14ac:dyDescent="0.2">
      <c r="A3" s="38">
        <v>1</v>
      </c>
      <c r="B3" s="39" t="s">
        <v>56</v>
      </c>
      <c r="C3" s="40" t="s">
        <v>2</v>
      </c>
      <c r="D3" s="41" t="s">
        <v>3</v>
      </c>
      <c r="E3" s="39" t="s">
        <v>40</v>
      </c>
      <c r="F3" s="42">
        <v>2.1875000000000002E-3</v>
      </c>
    </row>
    <row r="4" spans="1:6" ht="22" customHeight="1" x14ac:dyDescent="0.2">
      <c r="A4" s="43">
        <v>2</v>
      </c>
      <c r="B4" s="44" t="s">
        <v>124</v>
      </c>
      <c r="C4" s="45" t="s">
        <v>2</v>
      </c>
      <c r="D4" s="46" t="s">
        <v>3</v>
      </c>
      <c r="E4" s="44" t="s">
        <v>44</v>
      </c>
      <c r="F4" s="34">
        <v>2.2569444444444438E-3</v>
      </c>
    </row>
    <row r="5" spans="1:6" ht="22" customHeight="1" x14ac:dyDescent="0.2">
      <c r="A5" s="43">
        <v>3</v>
      </c>
      <c r="B5" s="44" t="s">
        <v>95</v>
      </c>
      <c r="C5" s="45" t="s">
        <v>2</v>
      </c>
      <c r="D5" s="46" t="s">
        <v>3</v>
      </c>
      <c r="E5" s="44" t="s">
        <v>40</v>
      </c>
      <c r="F5" s="34">
        <v>2.650462962962963E-3</v>
      </c>
    </row>
    <row r="6" spans="1:6" ht="22" customHeight="1" x14ac:dyDescent="0.2">
      <c r="A6" s="43">
        <v>4</v>
      </c>
      <c r="B6" s="44" t="s">
        <v>128</v>
      </c>
      <c r="C6" s="45" t="s">
        <v>2</v>
      </c>
      <c r="D6" s="46" t="s">
        <v>3</v>
      </c>
      <c r="E6" s="44" t="s">
        <v>40</v>
      </c>
      <c r="F6" s="34">
        <v>2.0833333333333329E-3</v>
      </c>
    </row>
    <row r="7" spans="1:6" ht="22" customHeight="1" x14ac:dyDescent="0.2">
      <c r="A7" s="43">
        <v>5</v>
      </c>
      <c r="B7" s="44" t="s">
        <v>100</v>
      </c>
      <c r="C7" s="45" t="s">
        <v>2</v>
      </c>
      <c r="D7" s="46" t="s">
        <v>3</v>
      </c>
      <c r="E7" s="44" t="s">
        <v>44</v>
      </c>
      <c r="F7" s="34">
        <v>2.0486111111111109E-3</v>
      </c>
    </row>
    <row r="8" spans="1:6" ht="22" customHeight="1" x14ac:dyDescent="0.2">
      <c r="A8" s="43">
        <v>6</v>
      </c>
      <c r="B8" s="44" t="s">
        <v>51</v>
      </c>
      <c r="C8" s="45" t="s">
        <v>2</v>
      </c>
      <c r="D8" s="46" t="s">
        <v>3</v>
      </c>
      <c r="E8" s="44" t="s">
        <v>40</v>
      </c>
      <c r="F8" s="34">
        <v>3.414351851851852E-3</v>
      </c>
    </row>
    <row r="9" spans="1:6" ht="22" customHeight="1" x14ac:dyDescent="0.2">
      <c r="A9" s="43">
        <v>7</v>
      </c>
      <c r="B9" s="44" t="s">
        <v>72</v>
      </c>
      <c r="C9" s="45" t="s">
        <v>2</v>
      </c>
      <c r="D9" s="46" t="s">
        <v>3</v>
      </c>
      <c r="E9" s="44" t="s">
        <v>44</v>
      </c>
      <c r="F9" s="34">
        <v>2.488425925925926E-3</v>
      </c>
    </row>
    <row r="10" spans="1:6" ht="22" customHeight="1" x14ac:dyDescent="0.2">
      <c r="A10" s="43">
        <v>8</v>
      </c>
      <c r="B10" s="44" t="s">
        <v>102</v>
      </c>
      <c r="C10" s="45" t="s">
        <v>2</v>
      </c>
      <c r="D10" s="46" t="s">
        <v>3</v>
      </c>
      <c r="E10" s="44" t="s">
        <v>35</v>
      </c>
      <c r="F10" s="34">
        <v>3.5995370370370369E-3</v>
      </c>
    </row>
    <row r="11" spans="1:6" ht="22" customHeight="1" x14ac:dyDescent="0.2">
      <c r="A11" s="43">
        <v>9</v>
      </c>
      <c r="B11" s="44" t="s">
        <v>137</v>
      </c>
      <c r="C11" s="45" t="s">
        <v>2</v>
      </c>
      <c r="D11" s="46" t="s">
        <v>3</v>
      </c>
      <c r="E11" s="44" t="s">
        <v>40</v>
      </c>
      <c r="F11" s="34">
        <v>2.0949074074074069E-3</v>
      </c>
    </row>
    <row r="12" spans="1:6" ht="22" customHeight="1" x14ac:dyDescent="0.2">
      <c r="A12" s="43">
        <v>10</v>
      </c>
      <c r="B12" s="44" t="s">
        <v>46</v>
      </c>
      <c r="C12" s="47" t="s">
        <v>2</v>
      </c>
      <c r="D12" s="48" t="s">
        <v>3</v>
      </c>
      <c r="E12" s="44" t="s">
        <v>35</v>
      </c>
      <c r="F12" s="34">
        <v>2.5810185185185189E-3</v>
      </c>
    </row>
    <row r="13" spans="1:6" ht="22" customHeight="1" x14ac:dyDescent="0.2">
      <c r="A13" s="43">
        <v>11</v>
      </c>
      <c r="B13" s="44" t="s">
        <v>98</v>
      </c>
      <c r="C13" s="45" t="s">
        <v>2</v>
      </c>
      <c r="D13" s="46" t="s">
        <v>3</v>
      </c>
      <c r="E13" s="44" t="s">
        <v>44</v>
      </c>
      <c r="F13" s="34">
        <v>2.8587962962962959E-3</v>
      </c>
    </row>
    <row r="14" spans="1:6" ht="22" customHeight="1" x14ac:dyDescent="0.2">
      <c r="A14" s="43">
        <v>12</v>
      </c>
      <c r="B14" s="44" t="s">
        <v>77</v>
      </c>
      <c r="C14" s="45" t="s">
        <v>2</v>
      </c>
      <c r="D14" s="46" t="s">
        <v>3</v>
      </c>
      <c r="E14" s="44" t="s">
        <v>40</v>
      </c>
      <c r="F14" s="34">
        <v>2.430555555555556E-3</v>
      </c>
    </row>
    <row r="15" spans="1:6" ht="22" customHeight="1" x14ac:dyDescent="0.2">
      <c r="A15" s="43">
        <v>13</v>
      </c>
      <c r="B15" s="44" t="s">
        <v>97</v>
      </c>
      <c r="C15" s="45" t="s">
        <v>2</v>
      </c>
      <c r="D15" s="46" t="s">
        <v>3</v>
      </c>
      <c r="E15" s="44" t="s">
        <v>55</v>
      </c>
      <c r="F15" s="34">
        <v>3.0439814814814808E-3</v>
      </c>
    </row>
    <row r="16" spans="1:6" ht="22" customHeight="1" x14ac:dyDescent="0.2">
      <c r="A16" s="43">
        <v>14</v>
      </c>
      <c r="B16" s="44" t="s">
        <v>131</v>
      </c>
      <c r="C16" s="45" t="s">
        <v>2</v>
      </c>
      <c r="D16" s="46" t="s">
        <v>3</v>
      </c>
      <c r="E16" s="44" t="s">
        <v>44</v>
      </c>
      <c r="F16" s="34">
        <v>3.3217592592592591E-3</v>
      </c>
    </row>
    <row r="17" spans="1:6" ht="22" customHeight="1" x14ac:dyDescent="0.2">
      <c r="A17" s="160" t="s">
        <v>169</v>
      </c>
      <c r="B17" s="149"/>
      <c r="C17" s="149"/>
      <c r="D17" s="149"/>
      <c r="E17" s="149"/>
      <c r="F17" s="150"/>
    </row>
    <row r="18" spans="1:6" ht="22" customHeight="1" x14ac:dyDescent="0.2">
      <c r="A18" s="43">
        <v>15</v>
      </c>
      <c r="B18" s="44" t="s">
        <v>48</v>
      </c>
      <c r="C18" s="49" t="s">
        <v>2</v>
      </c>
      <c r="D18" s="50" t="s">
        <v>3</v>
      </c>
      <c r="E18" s="44" t="s">
        <v>35</v>
      </c>
      <c r="F18" s="34">
        <v>2.719907407407407E-3</v>
      </c>
    </row>
    <row r="19" spans="1:6" ht="17" customHeight="1" x14ac:dyDescent="0.2">
      <c r="A19" s="51">
        <v>16</v>
      </c>
      <c r="B19" s="44" t="s">
        <v>70</v>
      </c>
      <c r="C19" s="45" t="s">
        <v>2</v>
      </c>
      <c r="D19" s="46" t="s">
        <v>3</v>
      </c>
      <c r="E19" s="44" t="s">
        <v>40</v>
      </c>
      <c r="F19" s="34">
        <v>2.7893518518518519E-3</v>
      </c>
    </row>
    <row r="20" spans="1:6" ht="22" customHeight="1" x14ac:dyDescent="0.2">
      <c r="A20" s="52">
        <v>17</v>
      </c>
      <c r="B20" s="44" t="s">
        <v>114</v>
      </c>
      <c r="C20" s="45" t="s">
        <v>2</v>
      </c>
      <c r="D20" s="46" t="s">
        <v>3</v>
      </c>
      <c r="E20" s="44" t="s">
        <v>44</v>
      </c>
      <c r="F20" s="34">
        <v>3.368055555555556E-3</v>
      </c>
    </row>
    <row r="21" spans="1:6" ht="17" customHeight="1" x14ac:dyDescent="0.2">
      <c r="A21" s="43">
        <v>18</v>
      </c>
      <c r="B21" s="44" t="s">
        <v>107</v>
      </c>
      <c r="C21" s="45" t="s">
        <v>2</v>
      </c>
      <c r="D21" s="46" t="s">
        <v>3</v>
      </c>
      <c r="E21" s="44" t="s">
        <v>35</v>
      </c>
      <c r="F21" s="34">
        <v>2.9513888888888888E-3</v>
      </c>
    </row>
    <row r="22" spans="1:6" ht="17" customHeight="1" x14ac:dyDescent="0.2">
      <c r="A22" s="43">
        <v>19</v>
      </c>
      <c r="B22" s="44" t="s">
        <v>79</v>
      </c>
      <c r="C22" s="45" t="s">
        <v>2</v>
      </c>
      <c r="D22" s="46" t="s">
        <v>3</v>
      </c>
      <c r="E22" s="44" t="s">
        <v>44</v>
      </c>
      <c r="F22" s="34">
        <v>2.604166666666667E-3</v>
      </c>
    </row>
    <row r="23" spans="1:6" ht="17" customHeight="1" x14ac:dyDescent="0.2">
      <c r="A23" s="43">
        <v>20</v>
      </c>
      <c r="B23" s="44" t="s">
        <v>105</v>
      </c>
      <c r="C23" s="45" t="s">
        <v>2</v>
      </c>
      <c r="D23" s="46" t="s">
        <v>3</v>
      </c>
      <c r="E23" s="44" t="s">
        <v>40</v>
      </c>
      <c r="F23" s="34">
        <v>3.2291666666666671E-3</v>
      </c>
    </row>
    <row r="24" spans="1:6" ht="17" customHeight="1" x14ac:dyDescent="0.2">
      <c r="A24" s="43">
        <v>21</v>
      </c>
      <c r="B24" s="44" t="s">
        <v>61</v>
      </c>
      <c r="C24" s="45" t="s">
        <v>2</v>
      </c>
      <c r="D24" s="46" t="s">
        <v>3</v>
      </c>
      <c r="E24" s="44" t="s">
        <v>35</v>
      </c>
      <c r="F24" s="53">
        <v>2.743055555555555E-3</v>
      </c>
    </row>
    <row r="25" spans="1:6" ht="17" customHeight="1" x14ac:dyDescent="0.2">
      <c r="A25" s="43">
        <v>22</v>
      </c>
      <c r="B25" s="44" t="s">
        <v>116</v>
      </c>
      <c r="C25" s="45" t="s">
        <v>2</v>
      </c>
      <c r="D25" s="46" t="s">
        <v>3</v>
      </c>
      <c r="E25" s="44" t="s">
        <v>44</v>
      </c>
      <c r="F25" s="34">
        <v>2.604166666666667E-3</v>
      </c>
    </row>
    <row r="26" spans="1:6" ht="17" customHeight="1" x14ac:dyDescent="0.2">
      <c r="A26" s="43">
        <v>23</v>
      </c>
      <c r="B26" s="44" t="s">
        <v>93</v>
      </c>
      <c r="C26" s="45" t="s">
        <v>2</v>
      </c>
      <c r="D26" s="46" t="s">
        <v>3</v>
      </c>
      <c r="E26" s="44" t="s">
        <v>55</v>
      </c>
      <c r="F26" s="34">
        <v>1.9791666666666668E-3</v>
      </c>
    </row>
    <row r="27" spans="1:6" ht="17" customHeight="1" x14ac:dyDescent="0.2">
      <c r="A27" s="43">
        <v>24</v>
      </c>
      <c r="B27" s="44" t="s">
        <v>85</v>
      </c>
      <c r="C27" s="45" t="s">
        <v>2</v>
      </c>
      <c r="D27" s="46" t="s">
        <v>3</v>
      </c>
      <c r="E27" s="44" t="s">
        <v>35</v>
      </c>
      <c r="F27" s="34">
        <v>2.5810185185185189E-3</v>
      </c>
    </row>
    <row r="28" spans="1:6" ht="17" customHeight="1" x14ac:dyDescent="0.2">
      <c r="A28" s="43">
        <v>25</v>
      </c>
      <c r="B28" s="57" t="s">
        <v>81</v>
      </c>
      <c r="C28" s="58" t="s">
        <v>2</v>
      </c>
      <c r="D28" s="59" t="s">
        <v>3</v>
      </c>
      <c r="E28" s="57" t="s">
        <v>35</v>
      </c>
      <c r="F28" s="60">
        <v>4.6874999999999998E-3</v>
      </c>
    </row>
    <row r="29" spans="1:6" ht="17" customHeight="1" thickBot="1" x14ac:dyDescent="0.25">
      <c r="A29" s="43">
        <v>26</v>
      </c>
      <c r="B29" s="44" t="s">
        <v>111</v>
      </c>
      <c r="C29" s="45" t="s">
        <v>2</v>
      </c>
      <c r="D29" s="46" t="s">
        <v>3</v>
      </c>
      <c r="E29" s="44" t="s">
        <v>40</v>
      </c>
      <c r="F29" s="34">
        <v>5.9606481481481481E-3</v>
      </c>
    </row>
    <row r="30" spans="1:6" ht="17" customHeight="1" thickBot="1" x14ac:dyDescent="0.25">
      <c r="A30" s="54"/>
      <c r="B30" s="55" t="s">
        <v>170</v>
      </c>
      <c r="C30" s="55"/>
      <c r="D30" s="55"/>
      <c r="E30" s="55"/>
      <c r="F30" s="56">
        <f>SUM(F3:F16,F18:F29)</f>
        <v>7.5277777777777763E-2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00000000-0004-0000-0400-000000000000}"/>
    <hyperlink ref="D3" r:id="rId2" xr:uid="{00000000-0004-0000-0400-000001000000}"/>
    <hyperlink ref="C4" r:id="rId3" xr:uid="{00000000-0004-0000-0400-000002000000}"/>
    <hyperlink ref="D4" r:id="rId4" xr:uid="{00000000-0004-0000-0400-000003000000}"/>
    <hyperlink ref="C5" r:id="rId5" xr:uid="{00000000-0004-0000-0400-000004000000}"/>
    <hyperlink ref="D5" r:id="rId6" xr:uid="{00000000-0004-0000-0400-000005000000}"/>
    <hyperlink ref="C6" r:id="rId7" xr:uid="{00000000-0004-0000-0400-000006000000}"/>
    <hyperlink ref="D6" r:id="rId8" xr:uid="{00000000-0004-0000-0400-000007000000}"/>
    <hyperlink ref="C7" r:id="rId9" xr:uid="{00000000-0004-0000-0400-000008000000}"/>
    <hyperlink ref="D7" r:id="rId10" xr:uid="{00000000-0004-0000-0400-000009000000}"/>
    <hyperlink ref="C8" r:id="rId11" xr:uid="{00000000-0004-0000-0400-00000A000000}"/>
    <hyperlink ref="D8" r:id="rId12" xr:uid="{00000000-0004-0000-0400-00000B000000}"/>
    <hyperlink ref="C9" r:id="rId13" xr:uid="{00000000-0004-0000-0400-00000C000000}"/>
    <hyperlink ref="D9" r:id="rId14" xr:uid="{00000000-0004-0000-0400-00000D000000}"/>
    <hyperlink ref="C10" r:id="rId15" xr:uid="{00000000-0004-0000-0400-00000E000000}"/>
    <hyperlink ref="D10" r:id="rId16" xr:uid="{00000000-0004-0000-0400-00000F000000}"/>
    <hyperlink ref="C11" r:id="rId17" xr:uid="{00000000-0004-0000-0400-000010000000}"/>
    <hyperlink ref="D11" r:id="rId18" xr:uid="{00000000-0004-0000-0400-000011000000}"/>
    <hyperlink ref="C12" r:id="rId19" xr:uid="{00000000-0004-0000-0400-000012000000}"/>
    <hyperlink ref="D12" r:id="rId20" xr:uid="{00000000-0004-0000-0400-000013000000}"/>
    <hyperlink ref="C13" r:id="rId21" xr:uid="{00000000-0004-0000-0400-000014000000}"/>
    <hyperlink ref="D13" r:id="rId22" xr:uid="{00000000-0004-0000-0400-000015000000}"/>
    <hyperlink ref="C14" r:id="rId23" xr:uid="{00000000-0004-0000-0400-000016000000}"/>
    <hyperlink ref="D14" r:id="rId24" xr:uid="{00000000-0004-0000-0400-000017000000}"/>
    <hyperlink ref="C15" r:id="rId25" xr:uid="{00000000-0004-0000-0400-000018000000}"/>
    <hyperlink ref="D15" r:id="rId26" xr:uid="{00000000-0004-0000-0400-000019000000}"/>
    <hyperlink ref="C16" r:id="rId27" xr:uid="{00000000-0004-0000-0400-00001A000000}"/>
    <hyperlink ref="D16" r:id="rId28" xr:uid="{00000000-0004-0000-0400-00001B000000}"/>
    <hyperlink ref="C18" r:id="rId29" xr:uid="{00000000-0004-0000-0400-00001C000000}"/>
    <hyperlink ref="D18" r:id="rId30" xr:uid="{00000000-0004-0000-0400-00001D000000}"/>
    <hyperlink ref="C19" r:id="rId31" xr:uid="{00000000-0004-0000-0400-00001E000000}"/>
    <hyperlink ref="D19" r:id="rId32" xr:uid="{00000000-0004-0000-0400-00001F000000}"/>
    <hyperlink ref="C20" r:id="rId33" xr:uid="{00000000-0004-0000-0400-000020000000}"/>
    <hyperlink ref="D20" r:id="rId34" xr:uid="{00000000-0004-0000-0400-000021000000}"/>
    <hyperlink ref="C21" r:id="rId35" xr:uid="{00000000-0004-0000-0400-000022000000}"/>
    <hyperlink ref="D21" r:id="rId36" xr:uid="{00000000-0004-0000-0400-000023000000}"/>
    <hyperlink ref="C22" r:id="rId37" xr:uid="{00000000-0004-0000-0400-000024000000}"/>
    <hyperlink ref="D22" r:id="rId38" xr:uid="{00000000-0004-0000-0400-000025000000}"/>
    <hyperlink ref="C23" r:id="rId39" xr:uid="{00000000-0004-0000-0400-000026000000}"/>
    <hyperlink ref="D23" r:id="rId40" xr:uid="{00000000-0004-0000-0400-000027000000}"/>
    <hyperlink ref="C24" r:id="rId41" xr:uid="{00000000-0004-0000-0400-000028000000}"/>
    <hyperlink ref="D24" r:id="rId42" xr:uid="{00000000-0004-0000-0400-000029000000}"/>
    <hyperlink ref="C25" r:id="rId43" xr:uid="{00000000-0004-0000-0400-00002A000000}"/>
    <hyperlink ref="D25" r:id="rId44" xr:uid="{00000000-0004-0000-0400-00002B000000}"/>
    <hyperlink ref="C26" r:id="rId45" xr:uid="{00000000-0004-0000-0400-00002C000000}"/>
    <hyperlink ref="D26" r:id="rId46" xr:uid="{00000000-0004-0000-0400-00002D000000}"/>
    <hyperlink ref="C27" r:id="rId47" xr:uid="{00000000-0004-0000-0400-00002E000000}"/>
    <hyperlink ref="D27" r:id="rId48" xr:uid="{00000000-0004-0000-0400-00002F000000}"/>
    <hyperlink ref="C28" r:id="rId49" xr:uid="{00000000-0004-0000-0400-000030000000}"/>
    <hyperlink ref="D28" r:id="rId50" xr:uid="{00000000-0004-0000-0400-000031000000}"/>
    <hyperlink ref="C29" r:id="rId51" xr:uid="{00000000-0004-0000-0400-000032000000}"/>
    <hyperlink ref="D29" r:id="rId52" xr:uid="{00000000-0004-0000-0400-000033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64" t="s">
        <v>91</v>
      </c>
      <c r="B1" s="165"/>
      <c r="C1" s="165"/>
      <c r="D1" s="165"/>
      <c r="E1" s="165"/>
      <c r="F1" s="166"/>
    </row>
    <row r="2" spans="1:6" ht="28" customHeight="1" thickBot="1" x14ac:dyDescent="0.25">
      <c r="A2" s="161" t="s">
        <v>173</v>
      </c>
      <c r="B2" s="162"/>
      <c r="C2" s="162"/>
      <c r="D2" s="162"/>
      <c r="E2" s="162"/>
      <c r="F2" s="163"/>
    </row>
    <row r="3" spans="1:6" ht="22" customHeight="1" x14ac:dyDescent="0.2">
      <c r="A3" s="86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7" t="s">
        <v>6</v>
      </c>
    </row>
    <row r="4" spans="1:6" ht="22" customHeight="1" x14ac:dyDescent="0.2">
      <c r="A4" s="26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7">
        <v>2.1875000000000002E-3</v>
      </c>
    </row>
    <row r="5" spans="1:6" ht="22" customHeight="1" x14ac:dyDescent="0.2">
      <c r="A5" s="26">
        <v>2</v>
      </c>
      <c r="B5" s="10" t="s">
        <v>107</v>
      </c>
      <c r="C5" s="17" t="s">
        <v>2</v>
      </c>
      <c r="D5" s="17" t="s">
        <v>3</v>
      </c>
      <c r="E5" s="10" t="s">
        <v>35</v>
      </c>
      <c r="F5" s="27">
        <v>2.9513888888888888E-3</v>
      </c>
    </row>
    <row r="6" spans="1:6" ht="22" customHeight="1" x14ac:dyDescent="0.2">
      <c r="A6" s="26">
        <v>3</v>
      </c>
      <c r="B6" s="10" t="s">
        <v>79</v>
      </c>
      <c r="C6" s="17" t="s">
        <v>2</v>
      </c>
      <c r="D6" s="17" t="s">
        <v>3</v>
      </c>
      <c r="E6" s="10" t="s">
        <v>44</v>
      </c>
      <c r="F6" s="27">
        <v>2.604166666666667E-3</v>
      </c>
    </row>
    <row r="7" spans="1:6" ht="22" customHeight="1" x14ac:dyDescent="0.2">
      <c r="A7" s="26">
        <v>4</v>
      </c>
      <c r="B7" s="10" t="s">
        <v>85</v>
      </c>
      <c r="C7" s="17" t="s">
        <v>2</v>
      </c>
      <c r="D7" s="17" t="s">
        <v>3</v>
      </c>
      <c r="E7" s="10" t="s">
        <v>35</v>
      </c>
      <c r="F7" s="27">
        <v>2.5810185185185189E-3</v>
      </c>
    </row>
    <row r="8" spans="1:6" ht="22" customHeight="1" x14ac:dyDescent="0.2">
      <c r="A8" s="26">
        <v>5</v>
      </c>
      <c r="B8" s="10" t="s">
        <v>77</v>
      </c>
      <c r="C8" s="17" t="s">
        <v>2</v>
      </c>
      <c r="D8" s="17" t="s">
        <v>3</v>
      </c>
      <c r="E8" s="10" t="s">
        <v>40</v>
      </c>
      <c r="F8" s="27">
        <v>2.430555555555556E-3</v>
      </c>
    </row>
    <row r="9" spans="1:6" ht="22" customHeight="1" x14ac:dyDescent="0.2">
      <c r="A9" s="26">
        <v>6</v>
      </c>
      <c r="B9" s="10" t="s">
        <v>98</v>
      </c>
      <c r="C9" s="17" t="s">
        <v>2</v>
      </c>
      <c r="D9" s="17" t="s">
        <v>3</v>
      </c>
      <c r="E9" s="10" t="s">
        <v>44</v>
      </c>
      <c r="F9" s="27">
        <v>2.8587962962962959E-3</v>
      </c>
    </row>
    <row r="10" spans="1:6" ht="22" customHeight="1" x14ac:dyDescent="0.2">
      <c r="A10" s="26">
        <v>7</v>
      </c>
      <c r="B10" s="10" t="s">
        <v>51</v>
      </c>
      <c r="C10" s="17" t="s">
        <v>2</v>
      </c>
      <c r="D10" s="17" t="s">
        <v>3</v>
      </c>
      <c r="E10" s="10" t="s">
        <v>40</v>
      </c>
      <c r="F10" s="27">
        <v>3.414351851851852E-3</v>
      </c>
    </row>
    <row r="11" spans="1:6" ht="22" customHeight="1" x14ac:dyDescent="0.2">
      <c r="A11" s="26">
        <v>8</v>
      </c>
      <c r="B11" s="10" t="s">
        <v>89</v>
      </c>
      <c r="C11" s="17" t="s">
        <v>2</v>
      </c>
      <c r="D11" s="17"/>
      <c r="E11" s="10" t="s">
        <v>44</v>
      </c>
      <c r="F11" s="27">
        <f>VLOOKUP(B11,'Song Tracker'!$A$3:$F$49,6,FALSE)</f>
        <v>3.8541666666666672E-3</v>
      </c>
    </row>
    <row r="12" spans="1:6" ht="22" customHeight="1" x14ac:dyDescent="0.2">
      <c r="A12" s="26">
        <v>9</v>
      </c>
      <c r="B12" s="10" t="s">
        <v>102</v>
      </c>
      <c r="C12" s="17" t="s">
        <v>2</v>
      </c>
      <c r="D12" s="17" t="s">
        <v>3</v>
      </c>
      <c r="E12" s="10" t="s">
        <v>35</v>
      </c>
      <c r="F12" s="27">
        <v>3.5995370370370369E-3</v>
      </c>
    </row>
    <row r="13" spans="1:6" ht="22" customHeight="1" x14ac:dyDescent="0.2">
      <c r="A13" s="26">
        <v>10</v>
      </c>
      <c r="B13" s="10" t="s">
        <v>70</v>
      </c>
      <c r="C13" s="17" t="s">
        <v>2</v>
      </c>
      <c r="D13" s="17" t="s">
        <v>3</v>
      </c>
      <c r="E13" s="10" t="s">
        <v>40</v>
      </c>
      <c r="F13" s="27">
        <v>2.7893518518518519E-3</v>
      </c>
    </row>
    <row r="14" spans="1:6" ht="22" customHeight="1" x14ac:dyDescent="0.2">
      <c r="A14" s="26">
        <v>11</v>
      </c>
      <c r="B14" s="10" t="s">
        <v>114</v>
      </c>
      <c r="C14" s="17" t="s">
        <v>2</v>
      </c>
      <c r="D14" s="17" t="s">
        <v>3</v>
      </c>
      <c r="E14" s="10" t="s">
        <v>44</v>
      </c>
      <c r="F14" s="27">
        <v>3.368055555555556E-3</v>
      </c>
    </row>
    <row r="15" spans="1:6" ht="22" customHeight="1" x14ac:dyDescent="0.2">
      <c r="A15" s="26">
        <v>12</v>
      </c>
      <c r="B15" s="10" t="s">
        <v>46</v>
      </c>
      <c r="C15" s="17" t="s">
        <v>2</v>
      </c>
      <c r="D15" s="17" t="s">
        <v>3</v>
      </c>
      <c r="E15" s="10" t="s">
        <v>35</v>
      </c>
      <c r="F15" s="27">
        <v>2.5810185185185189E-3</v>
      </c>
    </row>
    <row r="16" spans="1:6" ht="22" customHeight="1" x14ac:dyDescent="0.2">
      <c r="A16" s="26">
        <v>13</v>
      </c>
      <c r="B16" s="10" t="s">
        <v>116</v>
      </c>
      <c r="C16" s="17" t="s">
        <v>2</v>
      </c>
      <c r="D16" s="17" t="s">
        <v>3</v>
      </c>
      <c r="E16" s="10" t="s">
        <v>44</v>
      </c>
      <c r="F16" s="27">
        <v>2.604166666666667E-3</v>
      </c>
    </row>
    <row r="17" spans="1:6" ht="22" customHeight="1" x14ac:dyDescent="0.2">
      <c r="A17" s="26">
        <v>14</v>
      </c>
      <c r="B17" s="10" t="s">
        <v>61</v>
      </c>
      <c r="C17" s="17" t="s">
        <v>2</v>
      </c>
      <c r="D17" s="17" t="s">
        <v>3</v>
      </c>
      <c r="E17" s="10" t="s">
        <v>35</v>
      </c>
      <c r="F17" s="27">
        <v>2.743055555555555E-3</v>
      </c>
    </row>
    <row r="18" spans="1:6" ht="22" customHeight="1" x14ac:dyDescent="0.2">
      <c r="A18" s="26">
        <v>15</v>
      </c>
      <c r="B18" s="10" t="s">
        <v>137</v>
      </c>
      <c r="C18" s="17" t="s">
        <v>2</v>
      </c>
      <c r="D18" s="17" t="s">
        <v>3</v>
      </c>
      <c r="E18" s="10" t="s">
        <v>40</v>
      </c>
      <c r="F18" s="27">
        <v>2.0949074074074069E-3</v>
      </c>
    </row>
    <row r="19" spans="1:6" ht="22" customHeight="1" x14ac:dyDescent="0.2">
      <c r="A19" s="26">
        <v>16</v>
      </c>
      <c r="B19" s="10" t="s">
        <v>131</v>
      </c>
      <c r="C19" s="17" t="s">
        <v>2</v>
      </c>
      <c r="D19" s="17" t="s">
        <v>3</v>
      </c>
      <c r="E19" s="10" t="s">
        <v>44</v>
      </c>
      <c r="F19" s="27">
        <v>3.3217592592592591E-3</v>
      </c>
    </row>
    <row r="20" spans="1:6" x14ac:dyDescent="0.2">
      <c r="A20" s="28"/>
      <c r="B20" s="9"/>
      <c r="C20" s="12"/>
      <c r="D20" s="12"/>
      <c r="E20" s="9"/>
      <c r="F20" s="29"/>
    </row>
    <row r="21" spans="1:6" ht="22" customHeight="1" thickBot="1" x14ac:dyDescent="0.25">
      <c r="A21" s="30"/>
      <c r="B21" s="31" t="s">
        <v>170</v>
      </c>
      <c r="C21" s="32"/>
      <c r="D21" s="32"/>
      <c r="E21" s="31"/>
      <c r="F21" s="33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500-000000000000}"/>
    <hyperlink ref="D4" r:id="rId2" xr:uid="{00000000-0004-0000-0500-000001000000}"/>
    <hyperlink ref="C5" r:id="rId3" xr:uid="{00000000-0004-0000-0500-000002000000}"/>
    <hyperlink ref="D5" r:id="rId4" xr:uid="{00000000-0004-0000-0500-000003000000}"/>
    <hyperlink ref="C6" r:id="rId5" xr:uid="{00000000-0004-0000-0500-000004000000}"/>
    <hyperlink ref="D6" r:id="rId6" xr:uid="{00000000-0004-0000-0500-000005000000}"/>
    <hyperlink ref="C7" r:id="rId7" xr:uid="{00000000-0004-0000-0500-000006000000}"/>
    <hyperlink ref="D7" r:id="rId8" xr:uid="{00000000-0004-0000-0500-000007000000}"/>
    <hyperlink ref="C8" r:id="rId9" xr:uid="{00000000-0004-0000-0500-000008000000}"/>
    <hyperlink ref="D8" r:id="rId10" xr:uid="{00000000-0004-0000-0500-000009000000}"/>
    <hyperlink ref="C9" r:id="rId11" xr:uid="{00000000-0004-0000-0500-00000A000000}"/>
    <hyperlink ref="D9" r:id="rId12" xr:uid="{00000000-0004-0000-0500-00000B000000}"/>
    <hyperlink ref="C10" r:id="rId13" xr:uid="{00000000-0004-0000-0500-00000C000000}"/>
    <hyperlink ref="D10" r:id="rId14" xr:uid="{00000000-0004-0000-0500-00000D000000}"/>
    <hyperlink ref="C11" r:id="rId15" xr:uid="{00000000-0004-0000-0500-00000E000000}"/>
    <hyperlink ref="C12" r:id="rId16" xr:uid="{00000000-0004-0000-0500-00000F000000}"/>
    <hyperlink ref="D12" r:id="rId17" xr:uid="{00000000-0004-0000-0500-000010000000}"/>
    <hyperlink ref="C13" r:id="rId18" xr:uid="{00000000-0004-0000-0500-000011000000}"/>
    <hyperlink ref="D13" r:id="rId19" xr:uid="{00000000-0004-0000-0500-000012000000}"/>
    <hyperlink ref="C14" r:id="rId20" xr:uid="{00000000-0004-0000-0500-000013000000}"/>
    <hyperlink ref="D14" r:id="rId21" xr:uid="{00000000-0004-0000-0500-000014000000}"/>
    <hyperlink ref="C15" r:id="rId22" xr:uid="{00000000-0004-0000-0500-000015000000}"/>
    <hyperlink ref="D15" r:id="rId23" xr:uid="{00000000-0004-0000-0500-000016000000}"/>
    <hyperlink ref="C16" r:id="rId24" xr:uid="{00000000-0004-0000-0500-000017000000}"/>
    <hyperlink ref="D16" r:id="rId25" xr:uid="{00000000-0004-0000-0500-000018000000}"/>
    <hyperlink ref="C17" r:id="rId26" xr:uid="{00000000-0004-0000-0500-000019000000}"/>
    <hyperlink ref="D17" r:id="rId27" xr:uid="{00000000-0004-0000-0500-00001A000000}"/>
    <hyperlink ref="C18" r:id="rId28" xr:uid="{00000000-0004-0000-0500-00001B000000}"/>
    <hyperlink ref="D18" r:id="rId29" xr:uid="{00000000-0004-0000-0500-00001C000000}"/>
    <hyperlink ref="C19" r:id="rId30" xr:uid="{00000000-0004-0000-0500-00001D000000}"/>
    <hyperlink ref="D19" r:id="rId31" xr:uid="{00000000-0004-0000-0500-00001E000000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174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 t="s">
        <v>175</v>
      </c>
      <c r="B4" s="10" t="s">
        <v>112</v>
      </c>
      <c r="C4" s="17" t="s">
        <v>2</v>
      </c>
      <c r="D4" s="17" t="s">
        <v>3</v>
      </c>
      <c r="E4" s="10" t="s">
        <v>44</v>
      </c>
      <c r="F4" s="24">
        <f>VLOOKUP(B4,'Song Tracker'!$A$3:$F$49,6,FALSE)</f>
        <v>2.430555555555556E-3</v>
      </c>
    </row>
    <row r="5" spans="1:6" ht="22" customHeight="1" x14ac:dyDescent="0.2">
      <c r="A5" s="19">
        <v>1</v>
      </c>
      <c r="B5" s="10" t="s">
        <v>56</v>
      </c>
      <c r="C5" s="17" t="s">
        <v>2</v>
      </c>
      <c r="D5" s="17" t="s">
        <v>3</v>
      </c>
      <c r="E5" s="10" t="s">
        <v>40</v>
      </c>
      <c r="F5" s="24">
        <v>2.1875000000000002E-3</v>
      </c>
    </row>
    <row r="6" spans="1:6" ht="22" customHeight="1" x14ac:dyDescent="0.2">
      <c r="A6" s="19">
        <v>2</v>
      </c>
      <c r="B6" s="10" t="s">
        <v>107</v>
      </c>
      <c r="C6" s="17" t="s">
        <v>2</v>
      </c>
      <c r="D6" s="17" t="s">
        <v>3</v>
      </c>
      <c r="E6" s="10" t="s">
        <v>35</v>
      </c>
      <c r="F6" s="24">
        <v>2.9513888888888888E-3</v>
      </c>
    </row>
    <row r="7" spans="1:6" ht="22" customHeight="1" x14ac:dyDescent="0.2">
      <c r="A7" s="19">
        <v>3</v>
      </c>
      <c r="B7" s="10" t="s">
        <v>79</v>
      </c>
      <c r="C7" s="17" t="s">
        <v>2</v>
      </c>
      <c r="D7" s="17" t="s">
        <v>3</v>
      </c>
      <c r="E7" s="10" t="s">
        <v>44</v>
      </c>
      <c r="F7" s="24">
        <v>2.604166666666667E-3</v>
      </c>
    </row>
    <row r="8" spans="1:6" ht="22" customHeight="1" x14ac:dyDescent="0.2">
      <c r="A8" s="19">
        <v>4</v>
      </c>
      <c r="B8" s="10" t="s">
        <v>85</v>
      </c>
      <c r="C8" s="17" t="s">
        <v>2</v>
      </c>
      <c r="D8" s="17" t="s">
        <v>3</v>
      </c>
      <c r="E8" s="10" t="s">
        <v>35</v>
      </c>
      <c r="F8" s="24">
        <v>2.5810185185185189E-3</v>
      </c>
    </row>
    <row r="9" spans="1:6" ht="22" customHeight="1" x14ac:dyDescent="0.2">
      <c r="A9" s="19">
        <v>5</v>
      </c>
      <c r="B9" s="10" t="s">
        <v>77</v>
      </c>
      <c r="C9" s="17" t="s">
        <v>2</v>
      </c>
      <c r="D9" s="17" t="s">
        <v>3</v>
      </c>
      <c r="E9" s="10" t="s">
        <v>40</v>
      </c>
      <c r="F9" s="24">
        <v>2.430555555555556E-3</v>
      </c>
    </row>
    <row r="10" spans="1:6" ht="22" customHeight="1" x14ac:dyDescent="0.2">
      <c r="A10" s="19">
        <v>6</v>
      </c>
      <c r="B10" s="10" t="s">
        <v>98</v>
      </c>
      <c r="C10" s="17" t="s">
        <v>2</v>
      </c>
      <c r="D10" s="17" t="s">
        <v>3</v>
      </c>
      <c r="E10" s="10" t="s">
        <v>44</v>
      </c>
      <c r="F10" s="24">
        <v>2.8587962962962959E-3</v>
      </c>
    </row>
    <row r="11" spans="1:6" ht="22" customHeight="1" x14ac:dyDescent="0.2">
      <c r="A11" s="19">
        <v>7</v>
      </c>
      <c r="B11" s="10" t="s">
        <v>51</v>
      </c>
      <c r="C11" s="17" t="s">
        <v>2</v>
      </c>
      <c r="D11" s="17" t="s">
        <v>3</v>
      </c>
      <c r="E11" s="10" t="s">
        <v>40</v>
      </c>
      <c r="F11" s="24">
        <v>3.414351851851852E-3</v>
      </c>
    </row>
    <row r="12" spans="1:6" ht="22" customHeight="1" x14ac:dyDescent="0.2">
      <c r="A12" s="19"/>
      <c r="B12" s="10"/>
      <c r="C12" s="17"/>
      <c r="D12" s="17"/>
      <c r="E12" s="10"/>
      <c r="F12" s="24"/>
    </row>
    <row r="13" spans="1:6" ht="22" customHeight="1" x14ac:dyDescent="0.2">
      <c r="A13" s="19">
        <v>9</v>
      </c>
      <c r="B13" s="10" t="s">
        <v>102</v>
      </c>
      <c r="C13" s="17" t="s">
        <v>2</v>
      </c>
      <c r="D13" s="17" t="s">
        <v>3</v>
      </c>
      <c r="E13" s="10" t="s">
        <v>35</v>
      </c>
      <c r="F13" s="24">
        <v>3.5995370370370369E-3</v>
      </c>
    </row>
    <row r="14" spans="1:6" ht="22" customHeight="1" x14ac:dyDescent="0.2">
      <c r="A14" s="19">
        <v>10</v>
      </c>
      <c r="B14" s="10" t="s">
        <v>70</v>
      </c>
      <c r="C14" s="17" t="s">
        <v>2</v>
      </c>
      <c r="D14" s="17" t="s">
        <v>3</v>
      </c>
      <c r="E14" s="10" t="s">
        <v>40</v>
      </c>
      <c r="F14" s="24">
        <v>2.7893518518518519E-3</v>
      </c>
    </row>
    <row r="15" spans="1:6" ht="22" customHeight="1" x14ac:dyDescent="0.2">
      <c r="A15" s="19">
        <v>11</v>
      </c>
      <c r="B15" s="10" t="s">
        <v>114</v>
      </c>
      <c r="C15" s="17" t="s">
        <v>2</v>
      </c>
      <c r="D15" s="17" t="s">
        <v>3</v>
      </c>
      <c r="E15" s="10" t="s">
        <v>44</v>
      </c>
      <c r="F15" s="24">
        <v>3.368055555555556E-3</v>
      </c>
    </row>
    <row r="16" spans="1:6" ht="22" customHeight="1" x14ac:dyDescent="0.2">
      <c r="A16" s="19">
        <v>12</v>
      </c>
      <c r="B16" s="10" t="s">
        <v>46</v>
      </c>
      <c r="C16" s="17" t="s">
        <v>2</v>
      </c>
      <c r="D16" s="17" t="s">
        <v>3</v>
      </c>
      <c r="E16" s="10" t="s">
        <v>35</v>
      </c>
      <c r="F16" s="24">
        <v>2.5810185185185189E-3</v>
      </c>
    </row>
    <row r="17" spans="1:6" ht="22" customHeight="1" x14ac:dyDescent="0.2">
      <c r="A17" s="19">
        <v>13</v>
      </c>
      <c r="B17" s="10" t="s">
        <v>116</v>
      </c>
      <c r="C17" s="17" t="s">
        <v>2</v>
      </c>
      <c r="D17" s="17" t="s">
        <v>3</v>
      </c>
      <c r="E17" s="10" t="s">
        <v>44</v>
      </c>
      <c r="F17" s="24">
        <v>2.604166666666667E-3</v>
      </c>
    </row>
    <row r="18" spans="1:6" ht="22" customHeight="1" x14ac:dyDescent="0.2">
      <c r="A18" s="19">
        <v>14</v>
      </c>
      <c r="B18" s="10" t="s">
        <v>61</v>
      </c>
      <c r="C18" s="17" t="s">
        <v>2</v>
      </c>
      <c r="D18" s="17" t="s">
        <v>3</v>
      </c>
      <c r="E18" s="10" t="s">
        <v>35</v>
      </c>
      <c r="F18" s="24">
        <v>2.743055555555555E-3</v>
      </c>
    </row>
    <row r="19" spans="1:6" ht="22" customHeight="1" x14ac:dyDescent="0.2">
      <c r="A19" s="19">
        <v>15</v>
      </c>
      <c r="B19" s="10" t="s">
        <v>137</v>
      </c>
      <c r="C19" s="17" t="s">
        <v>2</v>
      </c>
      <c r="D19" s="17" t="s">
        <v>3</v>
      </c>
      <c r="E19" s="10" t="s">
        <v>40</v>
      </c>
      <c r="F19" s="24">
        <v>2.0949074074074069E-3</v>
      </c>
    </row>
    <row r="20" spans="1:6" ht="22" customHeight="1" x14ac:dyDescent="0.2">
      <c r="A20" s="19">
        <v>16</v>
      </c>
      <c r="B20" s="10" t="s">
        <v>131</v>
      </c>
      <c r="C20" s="17" t="s">
        <v>2</v>
      </c>
      <c r="D20" s="17" t="s">
        <v>3</v>
      </c>
      <c r="E20" s="10" t="s">
        <v>44</v>
      </c>
      <c r="F20" s="24">
        <v>3.3217592592592591E-3</v>
      </c>
    </row>
    <row r="21" spans="1:6" x14ac:dyDescent="0.2">
      <c r="A21" s="11"/>
      <c r="B21" s="9"/>
      <c r="C21" s="12"/>
      <c r="D21" s="12"/>
      <c r="E21" s="9"/>
      <c r="F21" s="25"/>
    </row>
    <row r="22" spans="1:6" ht="22" customHeight="1" thickBot="1" x14ac:dyDescent="0.25">
      <c r="A22" s="13"/>
      <c r="B22" s="14" t="s">
        <v>170</v>
      </c>
      <c r="C22" s="15"/>
      <c r="D22" s="15"/>
      <c r="E22" s="14"/>
      <c r="F22" s="16">
        <f>SUM(F4:F21)</f>
        <v>4.4560185185185182E-2</v>
      </c>
    </row>
  </sheetData>
  <mergeCells count="2">
    <mergeCell ref="A2:F2"/>
    <mergeCell ref="A1:F1"/>
  </mergeCells>
  <hyperlinks>
    <hyperlink ref="C4" r:id="rId1" xr:uid="{00000000-0004-0000-0600-000000000000}"/>
    <hyperlink ref="D4" r:id="rId2" xr:uid="{00000000-0004-0000-0600-000001000000}"/>
    <hyperlink ref="C5" r:id="rId3" xr:uid="{00000000-0004-0000-0600-000002000000}"/>
    <hyperlink ref="D5" r:id="rId4" xr:uid="{00000000-0004-0000-0600-000003000000}"/>
    <hyperlink ref="C6" r:id="rId5" xr:uid="{00000000-0004-0000-0600-000004000000}"/>
    <hyperlink ref="D6" r:id="rId6" xr:uid="{00000000-0004-0000-0600-000005000000}"/>
    <hyperlink ref="C7" r:id="rId7" xr:uid="{00000000-0004-0000-0600-000006000000}"/>
    <hyperlink ref="D7" r:id="rId8" xr:uid="{00000000-0004-0000-0600-000007000000}"/>
    <hyperlink ref="C8" r:id="rId9" xr:uid="{00000000-0004-0000-0600-000008000000}"/>
    <hyperlink ref="D8" r:id="rId10" xr:uid="{00000000-0004-0000-0600-000009000000}"/>
    <hyperlink ref="C9" r:id="rId11" xr:uid="{00000000-0004-0000-0600-00000A000000}"/>
    <hyperlink ref="D9" r:id="rId12" xr:uid="{00000000-0004-0000-0600-00000B000000}"/>
    <hyperlink ref="C10" r:id="rId13" xr:uid="{00000000-0004-0000-0600-00000C000000}"/>
    <hyperlink ref="D10" r:id="rId14" xr:uid="{00000000-0004-0000-0600-00000D000000}"/>
    <hyperlink ref="C11" r:id="rId15" xr:uid="{00000000-0004-0000-0600-00000E000000}"/>
    <hyperlink ref="D11" r:id="rId16" xr:uid="{00000000-0004-0000-0600-00000F000000}"/>
    <hyperlink ref="C13" r:id="rId17" xr:uid="{00000000-0004-0000-0600-000010000000}"/>
    <hyperlink ref="D13" r:id="rId18" xr:uid="{00000000-0004-0000-0600-000011000000}"/>
    <hyperlink ref="C14" r:id="rId19" xr:uid="{00000000-0004-0000-0600-000012000000}"/>
    <hyperlink ref="D14" r:id="rId20" xr:uid="{00000000-0004-0000-0600-000013000000}"/>
    <hyperlink ref="C15" r:id="rId21" xr:uid="{00000000-0004-0000-0600-000014000000}"/>
    <hyperlink ref="D15" r:id="rId22" xr:uid="{00000000-0004-0000-0600-000015000000}"/>
    <hyperlink ref="C16" r:id="rId23" xr:uid="{00000000-0004-0000-0600-000016000000}"/>
    <hyperlink ref="D16" r:id="rId24" xr:uid="{00000000-0004-0000-0600-000017000000}"/>
    <hyperlink ref="C17" r:id="rId25" xr:uid="{00000000-0004-0000-0600-000018000000}"/>
    <hyperlink ref="D17" r:id="rId26" xr:uid="{00000000-0004-0000-0600-000019000000}"/>
    <hyperlink ref="C18" r:id="rId27" xr:uid="{00000000-0004-0000-0600-00001A000000}"/>
    <hyperlink ref="D18" r:id="rId28" xr:uid="{00000000-0004-0000-0600-00001B000000}"/>
    <hyperlink ref="C19" r:id="rId29" xr:uid="{00000000-0004-0000-0600-00001C000000}"/>
    <hyperlink ref="D19" r:id="rId30" xr:uid="{00000000-0004-0000-0600-00001D000000}"/>
    <hyperlink ref="C20" r:id="rId31" xr:uid="{00000000-0004-0000-0600-00001E000000}"/>
    <hyperlink ref="D20" r:id="rId32" xr:uid="{00000000-0004-0000-0600-00001F000000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176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107</v>
      </c>
      <c r="C5" s="17" t="s">
        <v>2</v>
      </c>
      <c r="D5" s="17" t="s">
        <v>3</v>
      </c>
      <c r="E5" s="10" t="s">
        <v>35</v>
      </c>
      <c r="F5" s="24">
        <v>2.9513888888888888E-3</v>
      </c>
    </row>
    <row r="6" spans="1:6" ht="22" customHeight="1" x14ac:dyDescent="0.2">
      <c r="A6" s="19">
        <v>3</v>
      </c>
      <c r="B6" s="10" t="s">
        <v>79</v>
      </c>
      <c r="C6" s="17" t="s">
        <v>2</v>
      </c>
      <c r="D6" s="17" t="s">
        <v>3</v>
      </c>
      <c r="E6" s="10" t="s">
        <v>44</v>
      </c>
      <c r="F6" s="24">
        <v>2.604166666666667E-3</v>
      </c>
    </row>
    <row r="7" spans="1:6" ht="22" customHeight="1" x14ac:dyDescent="0.2">
      <c r="A7" s="19">
        <v>4</v>
      </c>
      <c r="B7" s="10" t="s">
        <v>85</v>
      </c>
      <c r="C7" s="17" t="s">
        <v>2</v>
      </c>
      <c r="D7" s="17" t="s">
        <v>3</v>
      </c>
      <c r="E7" s="10" t="s">
        <v>35</v>
      </c>
      <c r="F7" s="24">
        <v>2.5810185185185189E-3</v>
      </c>
    </row>
    <row r="8" spans="1:6" ht="22" customHeight="1" x14ac:dyDescent="0.2">
      <c r="A8" s="19">
        <v>5</v>
      </c>
      <c r="B8" s="10" t="s">
        <v>51</v>
      </c>
      <c r="C8" s="17" t="s">
        <v>2</v>
      </c>
      <c r="D8" s="17" t="s">
        <v>3</v>
      </c>
      <c r="E8" s="10" t="s">
        <v>40</v>
      </c>
      <c r="F8" s="24">
        <v>3.414351851851852E-3</v>
      </c>
    </row>
    <row r="9" spans="1:6" ht="22" customHeight="1" x14ac:dyDescent="0.2">
      <c r="A9" s="19">
        <v>6</v>
      </c>
      <c r="B9" s="10" t="s">
        <v>93</v>
      </c>
      <c r="C9" s="17" t="s">
        <v>2</v>
      </c>
      <c r="D9" s="17" t="s">
        <v>3</v>
      </c>
      <c r="E9" s="10" t="s">
        <v>55</v>
      </c>
      <c r="F9" s="24">
        <v>1.9791666666666668E-3</v>
      </c>
    </row>
    <row r="10" spans="1:6" ht="22" customHeight="1" x14ac:dyDescent="0.2">
      <c r="A10" s="19">
        <v>7</v>
      </c>
      <c r="B10" s="10" t="s">
        <v>102</v>
      </c>
      <c r="C10" s="17" t="s">
        <v>2</v>
      </c>
      <c r="D10" s="17" t="s">
        <v>3</v>
      </c>
      <c r="E10" s="10" t="s">
        <v>35</v>
      </c>
      <c r="F10" s="24">
        <v>3.5995370370370369E-3</v>
      </c>
    </row>
    <row r="11" spans="1:6" ht="22" customHeight="1" x14ac:dyDescent="0.2">
      <c r="A11" s="19">
        <v>8</v>
      </c>
      <c r="B11" s="10" t="s">
        <v>116</v>
      </c>
      <c r="C11" s="17" t="s">
        <v>2</v>
      </c>
      <c r="D11" s="17" t="s">
        <v>3</v>
      </c>
      <c r="E11" s="10" t="s">
        <v>44</v>
      </c>
      <c r="F11" s="24">
        <v>2.604166666666667E-3</v>
      </c>
    </row>
    <row r="12" spans="1:6" ht="22" customHeight="1" x14ac:dyDescent="0.2">
      <c r="A12" s="19">
        <v>9</v>
      </c>
      <c r="B12" s="10" t="s">
        <v>61</v>
      </c>
      <c r="C12" s="17" t="s">
        <v>2</v>
      </c>
      <c r="D12" s="17" t="s">
        <v>3</v>
      </c>
      <c r="E12" s="10" t="s">
        <v>35</v>
      </c>
      <c r="F12" s="24">
        <v>2.743055555555555E-3</v>
      </c>
    </row>
    <row r="13" spans="1:6" ht="22" customHeight="1" x14ac:dyDescent="0.2">
      <c r="A13" s="19">
        <v>10</v>
      </c>
      <c r="B13" s="10" t="s">
        <v>131</v>
      </c>
      <c r="C13" s="17" t="s">
        <v>2</v>
      </c>
      <c r="D13" s="17" t="s">
        <v>3</v>
      </c>
      <c r="E13" s="10" t="s">
        <v>44</v>
      </c>
      <c r="F13" s="24">
        <v>3.3217592592592591E-3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170</v>
      </c>
      <c r="C15" s="15"/>
      <c r="D15" s="15"/>
      <c r="E15" s="14"/>
      <c r="F15" s="16">
        <f>SUM(F4:F14)</f>
        <v>2.7986111111111114E-2</v>
      </c>
    </row>
  </sheetData>
  <mergeCells count="2">
    <mergeCell ref="A2:F2"/>
    <mergeCell ref="A1:F1"/>
  </mergeCells>
  <hyperlinks>
    <hyperlink ref="C4" r:id="rId1" xr:uid="{00000000-0004-0000-0700-000000000000}"/>
    <hyperlink ref="D4" r:id="rId2" xr:uid="{00000000-0004-0000-0700-000001000000}"/>
    <hyperlink ref="C5" r:id="rId3" xr:uid="{00000000-0004-0000-0700-000002000000}"/>
    <hyperlink ref="D5" r:id="rId4" xr:uid="{00000000-0004-0000-0700-000003000000}"/>
    <hyperlink ref="C6" r:id="rId5" xr:uid="{00000000-0004-0000-0700-000004000000}"/>
    <hyperlink ref="D6" r:id="rId6" xr:uid="{00000000-0004-0000-0700-000005000000}"/>
    <hyperlink ref="C7" r:id="rId7" xr:uid="{00000000-0004-0000-0700-000006000000}"/>
    <hyperlink ref="D7" r:id="rId8" xr:uid="{00000000-0004-0000-0700-000007000000}"/>
    <hyperlink ref="C8" r:id="rId9" xr:uid="{00000000-0004-0000-0700-000008000000}"/>
    <hyperlink ref="D8" r:id="rId10" xr:uid="{00000000-0004-0000-0700-000009000000}"/>
    <hyperlink ref="C9" r:id="rId11" xr:uid="{00000000-0004-0000-0700-00000A000000}"/>
    <hyperlink ref="D9" r:id="rId12" xr:uid="{00000000-0004-0000-0700-00000B000000}"/>
    <hyperlink ref="C10" r:id="rId13" xr:uid="{00000000-0004-0000-0700-00000C000000}"/>
    <hyperlink ref="D10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177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72</v>
      </c>
      <c r="C5" s="17" t="s">
        <v>2</v>
      </c>
      <c r="D5" s="17" t="s">
        <v>3</v>
      </c>
      <c r="E5" s="10" t="s">
        <v>44</v>
      </c>
      <c r="F5" s="24">
        <v>2.488425925925926E-3</v>
      </c>
    </row>
    <row r="6" spans="1:6" ht="22" customHeight="1" x14ac:dyDescent="0.2">
      <c r="A6" s="19">
        <v>3</v>
      </c>
      <c r="B6" s="10" t="s">
        <v>105</v>
      </c>
      <c r="C6" s="17" t="s">
        <v>2</v>
      </c>
      <c r="D6" s="17" t="s">
        <v>3</v>
      </c>
      <c r="E6" s="10" t="s">
        <v>40</v>
      </c>
      <c r="F6" s="24">
        <v>3.2291666666666671E-3</v>
      </c>
    </row>
    <row r="7" spans="1:6" ht="22" customHeight="1" x14ac:dyDescent="0.2">
      <c r="A7" s="19">
        <v>4</v>
      </c>
      <c r="B7" s="10" t="s">
        <v>93</v>
      </c>
      <c r="C7" s="17" t="s">
        <v>2</v>
      </c>
      <c r="D7" s="17" t="s">
        <v>3</v>
      </c>
      <c r="E7" s="10" t="s">
        <v>55</v>
      </c>
      <c r="F7" s="24">
        <v>1.9791666666666668E-3</v>
      </c>
    </row>
    <row r="8" spans="1:6" ht="22" customHeight="1" x14ac:dyDescent="0.2">
      <c r="A8" s="19">
        <v>5</v>
      </c>
      <c r="B8" s="10" t="s">
        <v>97</v>
      </c>
      <c r="C8" s="17" t="s">
        <v>2</v>
      </c>
      <c r="D8" s="17" t="s">
        <v>3</v>
      </c>
      <c r="E8" s="10" t="s">
        <v>55</v>
      </c>
      <c r="F8" s="24">
        <v>3.0439814814814808E-3</v>
      </c>
    </row>
    <row r="9" spans="1:6" ht="22" customHeight="1" x14ac:dyDescent="0.2">
      <c r="A9" s="19">
        <v>6</v>
      </c>
      <c r="B9" s="10" t="s">
        <v>61</v>
      </c>
      <c r="C9" s="17" t="s">
        <v>2</v>
      </c>
      <c r="D9" s="17" t="s">
        <v>3</v>
      </c>
      <c r="E9" s="10" t="s">
        <v>35</v>
      </c>
      <c r="F9" s="24">
        <v>2.743055555555555E-3</v>
      </c>
    </row>
    <row r="10" spans="1:6" ht="22" customHeight="1" x14ac:dyDescent="0.2">
      <c r="A10" s="19">
        <v>7</v>
      </c>
      <c r="B10" s="10" t="s">
        <v>85</v>
      </c>
      <c r="C10" s="17" t="s">
        <v>2</v>
      </c>
      <c r="D10" s="17" t="s">
        <v>3</v>
      </c>
      <c r="E10" s="10" t="s">
        <v>35</v>
      </c>
      <c r="F10" s="24">
        <v>2.5810185185185189E-3</v>
      </c>
    </row>
    <row r="11" spans="1:6" ht="22" customHeight="1" x14ac:dyDescent="0.2">
      <c r="A11" s="19">
        <v>8</v>
      </c>
      <c r="B11" s="10" t="s">
        <v>79</v>
      </c>
      <c r="C11" s="17" t="s">
        <v>2</v>
      </c>
      <c r="D11" s="17" t="s">
        <v>3</v>
      </c>
      <c r="E11" s="10" t="s">
        <v>44</v>
      </c>
      <c r="F11" s="24">
        <v>2.604166666666667E-3</v>
      </c>
    </row>
    <row r="12" spans="1:6" ht="22" customHeight="1" x14ac:dyDescent="0.2">
      <c r="A12" s="19">
        <v>9</v>
      </c>
      <c r="B12" s="10" t="s">
        <v>74</v>
      </c>
      <c r="C12" s="17" t="s">
        <v>2</v>
      </c>
      <c r="D12" s="17" t="s">
        <v>3</v>
      </c>
      <c r="E12" s="10" t="s">
        <v>35</v>
      </c>
      <c r="F12" s="24">
        <v>1.93287037037037E-3</v>
      </c>
    </row>
    <row r="13" spans="1:6" ht="22" customHeight="1" x14ac:dyDescent="0.2">
      <c r="A13" s="19">
        <v>10</v>
      </c>
      <c r="B13" s="10" t="s">
        <v>122</v>
      </c>
      <c r="C13" s="17" t="s">
        <v>2</v>
      </c>
      <c r="D13" s="17" t="s">
        <v>3</v>
      </c>
      <c r="E13" s="10" t="s">
        <v>44</v>
      </c>
      <c r="F13" s="24">
        <v>3.460648148148148E-3</v>
      </c>
    </row>
    <row r="14" spans="1:6" ht="22" customHeight="1" x14ac:dyDescent="0.2">
      <c r="A14" s="19">
        <v>11</v>
      </c>
      <c r="B14" s="10" t="s">
        <v>102</v>
      </c>
      <c r="C14" s="17" t="s">
        <v>2</v>
      </c>
      <c r="D14" s="17" t="s">
        <v>3</v>
      </c>
      <c r="E14" s="10" t="s">
        <v>35</v>
      </c>
      <c r="F14" s="24">
        <v>3.5995370370370369E-3</v>
      </c>
    </row>
    <row r="15" spans="1:6" ht="22" customHeight="1" x14ac:dyDescent="0.2">
      <c r="A15" s="19">
        <v>12</v>
      </c>
      <c r="B15" s="10" t="s">
        <v>114</v>
      </c>
      <c r="C15" s="17" t="s">
        <v>2</v>
      </c>
      <c r="D15" s="17" t="s">
        <v>3</v>
      </c>
      <c r="E15" s="10" t="s">
        <v>44</v>
      </c>
      <c r="F15" s="24">
        <v>3.368055555555556E-3</v>
      </c>
    </row>
    <row r="16" spans="1:6" ht="22" customHeight="1" x14ac:dyDescent="0.2">
      <c r="A16" s="19">
        <v>13</v>
      </c>
      <c r="B16" s="10" t="s">
        <v>70</v>
      </c>
      <c r="C16" s="17" t="s">
        <v>2</v>
      </c>
      <c r="D16" s="17" t="s">
        <v>3</v>
      </c>
      <c r="E16" s="10" t="s">
        <v>40</v>
      </c>
      <c r="F16" s="24">
        <v>2.7893518518518519E-3</v>
      </c>
    </row>
    <row r="17" spans="1:6" ht="22" customHeight="1" x14ac:dyDescent="0.2">
      <c r="A17" s="19">
        <v>14</v>
      </c>
      <c r="B17" s="10" t="s">
        <v>116</v>
      </c>
      <c r="C17" s="17" t="s">
        <v>2</v>
      </c>
      <c r="D17" s="17" t="s">
        <v>3</v>
      </c>
      <c r="E17" s="10" t="s">
        <v>44</v>
      </c>
      <c r="F17" s="24">
        <v>2.604166666666667E-3</v>
      </c>
    </row>
    <row r="18" spans="1:6" ht="22" customHeight="1" x14ac:dyDescent="0.2">
      <c r="A18" s="19">
        <v>15</v>
      </c>
      <c r="B18" s="10" t="s">
        <v>137</v>
      </c>
      <c r="C18" s="17" t="s">
        <v>2</v>
      </c>
      <c r="D18" s="17" t="s">
        <v>3</v>
      </c>
      <c r="E18" s="10" t="s">
        <v>40</v>
      </c>
      <c r="F18" s="24">
        <v>2.0949074074074069E-3</v>
      </c>
    </row>
    <row r="19" spans="1:6" ht="22" customHeight="1" x14ac:dyDescent="0.2">
      <c r="A19" s="19">
        <v>16</v>
      </c>
      <c r="B19" s="10" t="s">
        <v>131</v>
      </c>
      <c r="C19" s="17" t="s">
        <v>2</v>
      </c>
      <c r="D19" s="17" t="s">
        <v>3</v>
      </c>
      <c r="E19" s="10" t="s">
        <v>44</v>
      </c>
      <c r="F19" s="24">
        <v>3.3217592592592591E-3</v>
      </c>
    </row>
    <row r="20" spans="1:6" ht="22" customHeight="1" x14ac:dyDescent="0.2">
      <c r="A20" s="19">
        <v>17</v>
      </c>
      <c r="B20" s="10" t="s">
        <v>124</v>
      </c>
      <c r="C20" s="17" t="s">
        <v>2</v>
      </c>
      <c r="D20" s="17" t="s">
        <v>3</v>
      </c>
      <c r="E20" s="10" t="s">
        <v>44</v>
      </c>
      <c r="F20" s="24">
        <v>2.2569444444444438E-3</v>
      </c>
    </row>
    <row r="21" spans="1:6" ht="22" customHeight="1" x14ac:dyDescent="0.2">
      <c r="A21" s="19">
        <v>18</v>
      </c>
      <c r="B21" s="10" t="s">
        <v>51</v>
      </c>
      <c r="C21" s="17" t="s">
        <v>2</v>
      </c>
      <c r="D21" s="17" t="s">
        <v>3</v>
      </c>
      <c r="E21" s="10" t="s">
        <v>40</v>
      </c>
      <c r="F21" s="24">
        <v>3.414351851851852E-3</v>
      </c>
    </row>
    <row r="22" spans="1:6" ht="22" customHeight="1" x14ac:dyDescent="0.2">
      <c r="A22" s="19">
        <v>19</v>
      </c>
      <c r="B22" s="10" t="s">
        <v>107</v>
      </c>
      <c r="C22" s="17" t="s">
        <v>2</v>
      </c>
      <c r="D22" s="17" t="s">
        <v>3</v>
      </c>
      <c r="E22" s="10" t="s">
        <v>35</v>
      </c>
      <c r="F22" s="24">
        <v>2.9513888888888888E-3</v>
      </c>
    </row>
    <row r="23" spans="1:6" ht="22" customHeight="1" x14ac:dyDescent="0.2">
      <c r="A23" s="19">
        <v>20</v>
      </c>
      <c r="B23" s="10" t="s">
        <v>46</v>
      </c>
      <c r="C23" s="17" t="s">
        <v>2</v>
      </c>
      <c r="D23" s="17" t="s">
        <v>3</v>
      </c>
      <c r="E23" s="10" t="s">
        <v>35</v>
      </c>
      <c r="F23" s="24">
        <v>2.5810185185185189E-3</v>
      </c>
    </row>
    <row r="24" spans="1:6" ht="22" customHeight="1" x14ac:dyDescent="0.2">
      <c r="A24" s="19">
        <v>21</v>
      </c>
      <c r="B24" s="10" t="s">
        <v>89</v>
      </c>
      <c r="C24" s="17" t="s">
        <v>2</v>
      </c>
      <c r="D24" s="18"/>
      <c r="E24" s="10" t="s">
        <v>44</v>
      </c>
      <c r="F24" s="24">
        <v>3.8541666666666672E-3</v>
      </c>
    </row>
    <row r="25" spans="1:6" ht="22" customHeight="1" x14ac:dyDescent="0.2">
      <c r="A25" s="19">
        <v>22</v>
      </c>
      <c r="B25" s="10" t="s">
        <v>109</v>
      </c>
      <c r="C25" s="17" t="s">
        <v>2</v>
      </c>
      <c r="D25" s="17" t="s">
        <v>3</v>
      </c>
      <c r="E25" s="10" t="s">
        <v>40</v>
      </c>
      <c r="F25" s="24">
        <v>4.1319444444444442E-3</v>
      </c>
    </row>
    <row r="26" spans="1:6" ht="22" customHeight="1" x14ac:dyDescent="0.2">
      <c r="A26" s="19">
        <v>23</v>
      </c>
      <c r="B26" s="10" t="s">
        <v>100</v>
      </c>
      <c r="C26" s="17" t="s">
        <v>2</v>
      </c>
      <c r="D26" s="17" t="s">
        <v>3</v>
      </c>
      <c r="E26" s="10" t="s">
        <v>44</v>
      </c>
      <c r="F26" s="24">
        <v>2.0486111111111109E-3</v>
      </c>
    </row>
    <row r="27" spans="1:6" ht="22" customHeight="1" x14ac:dyDescent="0.2">
      <c r="A27" s="19">
        <v>24</v>
      </c>
      <c r="B27" s="10" t="s">
        <v>81</v>
      </c>
      <c r="C27" s="17" t="s">
        <v>2</v>
      </c>
      <c r="D27" s="17" t="s">
        <v>3</v>
      </c>
      <c r="E27" s="10" t="s">
        <v>35</v>
      </c>
      <c r="F27" s="24">
        <v>4.6874999999999998E-3</v>
      </c>
    </row>
    <row r="28" spans="1:6" ht="22" customHeight="1" x14ac:dyDescent="0.2">
      <c r="A28" s="19">
        <v>25</v>
      </c>
      <c r="B28" s="10" t="s">
        <v>53</v>
      </c>
      <c r="C28" s="17" t="s">
        <v>2</v>
      </c>
      <c r="D28" s="17" t="s">
        <v>3</v>
      </c>
      <c r="E28" s="10" t="s">
        <v>55</v>
      </c>
      <c r="F28" s="24">
        <v>1.747685185185185E-3</v>
      </c>
    </row>
    <row r="29" spans="1:6" ht="22" customHeight="1" x14ac:dyDescent="0.2">
      <c r="A29" s="19">
        <v>26</v>
      </c>
      <c r="B29" s="10" t="s">
        <v>48</v>
      </c>
      <c r="C29" s="17" t="s">
        <v>2</v>
      </c>
      <c r="D29" s="17" t="s">
        <v>3</v>
      </c>
      <c r="E29" s="10" t="s">
        <v>35</v>
      </c>
      <c r="F29" s="24">
        <v>2.719907407407407E-3</v>
      </c>
    </row>
    <row r="30" spans="1:6" ht="22" customHeight="1" x14ac:dyDescent="0.2">
      <c r="A30" s="19">
        <v>27</v>
      </c>
      <c r="B30" s="10" t="s">
        <v>98</v>
      </c>
      <c r="C30" s="17" t="s">
        <v>2</v>
      </c>
      <c r="D30" s="17" t="s">
        <v>3</v>
      </c>
      <c r="E30" s="10" t="s">
        <v>44</v>
      </c>
      <c r="F30" s="24">
        <v>2.8587962962962959E-3</v>
      </c>
    </row>
    <row r="31" spans="1:6" ht="22" customHeight="1" x14ac:dyDescent="0.2">
      <c r="A31" s="19">
        <v>28</v>
      </c>
      <c r="B31" s="10" t="s">
        <v>87</v>
      </c>
      <c r="C31" s="18"/>
      <c r="D31" s="17" t="s">
        <v>3</v>
      </c>
      <c r="E31" s="10" t="s">
        <v>35</v>
      </c>
      <c r="F31" s="24">
        <f>VLOOKUP(B31,'Song Tracker'!$A$3:$F$49,6,FALSE)</f>
        <v>2.604166666666667E-3</v>
      </c>
    </row>
    <row r="32" spans="1:6" ht="22" customHeight="1" x14ac:dyDescent="0.2">
      <c r="A32" s="19">
        <v>29</v>
      </c>
      <c r="B32" s="10" t="s">
        <v>111</v>
      </c>
      <c r="C32" s="17" t="s">
        <v>2</v>
      </c>
      <c r="D32" s="17" t="s">
        <v>3</v>
      </c>
      <c r="E32" s="10" t="s">
        <v>40</v>
      </c>
      <c r="F32" s="24">
        <v>5.9606481481481481E-3</v>
      </c>
    </row>
    <row r="33" spans="1:6" ht="22" customHeight="1" x14ac:dyDescent="0.2">
      <c r="A33" s="19">
        <v>30</v>
      </c>
      <c r="B33" s="10" t="s">
        <v>77</v>
      </c>
      <c r="C33" s="17" t="s">
        <v>2</v>
      </c>
      <c r="D33" s="17" t="s">
        <v>3</v>
      </c>
      <c r="E33" s="10" t="s">
        <v>40</v>
      </c>
      <c r="F33" s="24">
        <v>2.430555555555556E-3</v>
      </c>
    </row>
    <row r="34" spans="1:6" ht="22" customHeight="1" x14ac:dyDescent="0.2">
      <c r="A34" s="19">
        <v>31</v>
      </c>
      <c r="B34" s="10" t="s">
        <v>126</v>
      </c>
      <c r="C34" s="17" t="s">
        <v>2</v>
      </c>
      <c r="D34" s="17" t="s">
        <v>3</v>
      </c>
      <c r="E34" s="10" t="s">
        <v>44</v>
      </c>
      <c r="F34" s="24">
        <f>VLOOKUP(B34,'Song Tracker'!$A$3:$F$49,6,FALSE)</f>
        <v>3.472222222222222E-3</v>
      </c>
    </row>
    <row r="35" spans="1:6" ht="22" customHeight="1" x14ac:dyDescent="0.2">
      <c r="A35" s="11"/>
      <c r="B35" s="9"/>
      <c r="C35" s="12"/>
      <c r="D35" s="12"/>
      <c r="E35" s="9"/>
      <c r="F35" s="25"/>
    </row>
    <row r="36" spans="1:6" ht="22" customHeight="1" thickBot="1" x14ac:dyDescent="0.25">
      <c r="A36" s="13"/>
      <c r="B36" s="14" t="s">
        <v>170</v>
      </c>
      <c r="C36" s="15"/>
      <c r="D36" s="15"/>
      <c r="E36" s="14"/>
      <c r="F36" s="16">
        <f>SUM(F4:F35)</f>
        <v>9.1747685185185182E-2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D11" r:id="rId16" xr:uid="{00000000-0004-0000-0800-00000F000000}"/>
    <hyperlink ref="C12" r:id="rId17" xr:uid="{00000000-0004-0000-0800-000010000000}"/>
    <hyperlink ref="D12" r:id="rId18" xr:uid="{00000000-0004-0000-0800-000011000000}"/>
    <hyperlink ref="C13" r:id="rId19" xr:uid="{00000000-0004-0000-0800-000012000000}"/>
    <hyperlink ref="D13" r:id="rId20" xr:uid="{00000000-0004-0000-0800-000013000000}"/>
    <hyperlink ref="C14" r:id="rId21" xr:uid="{00000000-0004-0000-0800-000014000000}"/>
    <hyperlink ref="D14" r:id="rId22" xr:uid="{00000000-0004-0000-0800-000015000000}"/>
    <hyperlink ref="C15" r:id="rId23" xr:uid="{00000000-0004-0000-0800-000016000000}"/>
    <hyperlink ref="D15" r:id="rId24" xr:uid="{00000000-0004-0000-0800-000017000000}"/>
    <hyperlink ref="C16" r:id="rId25" xr:uid="{00000000-0004-0000-0800-000018000000}"/>
    <hyperlink ref="D16" r:id="rId26" xr:uid="{00000000-0004-0000-0800-000019000000}"/>
    <hyperlink ref="C17" r:id="rId27" xr:uid="{00000000-0004-0000-0800-00001A000000}"/>
    <hyperlink ref="D17" r:id="rId28" xr:uid="{00000000-0004-0000-0800-00001B000000}"/>
    <hyperlink ref="C18" r:id="rId29" xr:uid="{00000000-0004-0000-0800-00001C000000}"/>
    <hyperlink ref="D18" r:id="rId30" xr:uid="{00000000-0004-0000-0800-00001D000000}"/>
    <hyperlink ref="C19" r:id="rId31" xr:uid="{00000000-0004-0000-0800-00001E000000}"/>
    <hyperlink ref="D19" r:id="rId32" xr:uid="{00000000-0004-0000-0800-00001F000000}"/>
    <hyperlink ref="C20" r:id="rId33" xr:uid="{00000000-0004-0000-0800-000020000000}"/>
    <hyperlink ref="D20" r:id="rId34" xr:uid="{00000000-0004-0000-0800-000021000000}"/>
    <hyperlink ref="C21" r:id="rId35" xr:uid="{00000000-0004-0000-0800-000022000000}"/>
    <hyperlink ref="D21" r:id="rId36" xr:uid="{00000000-0004-0000-0800-000023000000}"/>
    <hyperlink ref="C22" r:id="rId37" xr:uid="{00000000-0004-0000-0800-000024000000}"/>
    <hyperlink ref="D22" r:id="rId38" xr:uid="{00000000-0004-0000-0800-000025000000}"/>
    <hyperlink ref="C23" r:id="rId39" xr:uid="{00000000-0004-0000-0800-000026000000}"/>
    <hyperlink ref="D23" r:id="rId40" xr:uid="{00000000-0004-0000-0800-000027000000}"/>
    <hyperlink ref="C24" r:id="rId41" xr:uid="{00000000-0004-0000-0800-000028000000}"/>
    <hyperlink ref="C25" r:id="rId42" xr:uid="{00000000-0004-0000-0800-000029000000}"/>
    <hyperlink ref="D25" r:id="rId43" xr:uid="{00000000-0004-0000-0800-00002A000000}"/>
    <hyperlink ref="C26" r:id="rId44" xr:uid="{00000000-0004-0000-0800-00002B000000}"/>
    <hyperlink ref="D26" r:id="rId45" xr:uid="{00000000-0004-0000-0800-00002C000000}"/>
    <hyperlink ref="C27" r:id="rId46" xr:uid="{00000000-0004-0000-0800-00002D000000}"/>
    <hyperlink ref="D27" r:id="rId47" xr:uid="{00000000-0004-0000-0800-00002E000000}"/>
    <hyperlink ref="C28" r:id="rId48" xr:uid="{00000000-0004-0000-0800-00002F000000}"/>
    <hyperlink ref="D28" r:id="rId49" xr:uid="{00000000-0004-0000-0800-000030000000}"/>
    <hyperlink ref="C29" r:id="rId50" xr:uid="{00000000-0004-0000-0800-000031000000}"/>
    <hyperlink ref="D29" r:id="rId51" xr:uid="{00000000-0004-0000-0800-000032000000}"/>
    <hyperlink ref="C30" r:id="rId52" xr:uid="{00000000-0004-0000-0800-000033000000}"/>
    <hyperlink ref="D30" r:id="rId53" xr:uid="{00000000-0004-0000-0800-000034000000}"/>
    <hyperlink ref="D31" r:id="rId54" xr:uid="{00000000-0004-0000-0800-000035000000}"/>
    <hyperlink ref="C32" r:id="rId55" xr:uid="{00000000-0004-0000-0800-000036000000}"/>
    <hyperlink ref="D32" r:id="rId56" xr:uid="{00000000-0004-0000-0800-000037000000}"/>
    <hyperlink ref="C33" r:id="rId57" xr:uid="{00000000-0004-0000-0800-000038000000}"/>
    <hyperlink ref="D33" r:id="rId58" xr:uid="{00000000-0004-0000-0800-000039000000}"/>
    <hyperlink ref="C34" r:id="rId59" xr:uid="{00000000-0004-0000-0800-00003A000000}"/>
    <hyperlink ref="D34" r:id="rId60" xr:uid="{00000000-0004-0000-0800-00003B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178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98</v>
      </c>
      <c r="C4" s="17" t="s">
        <v>2</v>
      </c>
      <c r="D4" s="17" t="s">
        <v>3</v>
      </c>
      <c r="E4" s="10" t="s">
        <v>44</v>
      </c>
      <c r="F4" s="24">
        <v>2.8587962962962959E-3</v>
      </c>
    </row>
    <row r="5" spans="1:6" ht="22" customHeight="1" x14ac:dyDescent="0.2">
      <c r="A5" s="19">
        <v>2</v>
      </c>
      <c r="B5" s="10" t="s">
        <v>56</v>
      </c>
      <c r="C5" s="17" t="s">
        <v>2</v>
      </c>
      <c r="D5" s="17" t="s">
        <v>3</v>
      </c>
      <c r="E5" s="10" t="s">
        <v>40</v>
      </c>
      <c r="F5" s="24">
        <v>2.1875000000000002E-3</v>
      </c>
    </row>
    <row r="6" spans="1:6" ht="22" customHeight="1" x14ac:dyDescent="0.2">
      <c r="A6" s="19">
        <v>3</v>
      </c>
      <c r="B6" s="10" t="s">
        <v>48</v>
      </c>
      <c r="C6" s="17" t="s">
        <v>2</v>
      </c>
      <c r="D6" s="17" t="s">
        <v>3</v>
      </c>
      <c r="E6" s="10" t="s">
        <v>35</v>
      </c>
      <c r="F6" s="24">
        <v>2.719907407407407E-3</v>
      </c>
    </row>
    <row r="7" spans="1:6" ht="22" customHeight="1" x14ac:dyDescent="0.2">
      <c r="A7" s="19">
        <v>4</v>
      </c>
      <c r="B7" s="10" t="s">
        <v>114</v>
      </c>
      <c r="C7" s="17" t="s">
        <v>2</v>
      </c>
      <c r="D7" s="17" t="s">
        <v>3</v>
      </c>
      <c r="E7" s="10" t="s">
        <v>44</v>
      </c>
      <c r="F7" s="24">
        <v>3.368055555555556E-3</v>
      </c>
    </row>
    <row r="8" spans="1:6" ht="22" customHeight="1" x14ac:dyDescent="0.2">
      <c r="A8" s="19">
        <v>5</v>
      </c>
      <c r="B8" s="10" t="s">
        <v>121</v>
      </c>
      <c r="C8" s="17" t="s">
        <v>2</v>
      </c>
      <c r="D8" s="17" t="s">
        <v>3</v>
      </c>
      <c r="E8" s="10" t="s">
        <v>40</v>
      </c>
      <c r="F8" s="24">
        <f>VLOOKUP(B8,'Song Tracker'!$A$3:$F$49,6,FALSE)</f>
        <v>2.0023148148148148E-3</v>
      </c>
    </row>
    <row r="9" spans="1:6" ht="22" customHeight="1" x14ac:dyDescent="0.2">
      <c r="A9" s="19">
        <v>6</v>
      </c>
      <c r="B9" s="10" t="s">
        <v>107</v>
      </c>
      <c r="C9" s="17" t="s">
        <v>2</v>
      </c>
      <c r="D9" s="17" t="s">
        <v>3</v>
      </c>
      <c r="E9" s="10" t="s">
        <v>35</v>
      </c>
      <c r="F9" s="24">
        <v>2.9513888888888888E-3</v>
      </c>
    </row>
    <row r="10" spans="1:6" ht="22" customHeight="1" x14ac:dyDescent="0.2">
      <c r="A10" s="19">
        <v>7</v>
      </c>
      <c r="B10" s="10" t="s">
        <v>124</v>
      </c>
      <c r="C10" s="17" t="s">
        <v>2</v>
      </c>
      <c r="D10" s="17" t="s">
        <v>3</v>
      </c>
      <c r="E10" s="10" t="s">
        <v>44</v>
      </c>
      <c r="F10" s="24">
        <v>2.2569444444444438E-3</v>
      </c>
    </row>
    <row r="11" spans="1:6" ht="22" customHeight="1" x14ac:dyDescent="0.2">
      <c r="A11" s="19">
        <v>8</v>
      </c>
      <c r="B11" s="10" t="s">
        <v>77</v>
      </c>
      <c r="C11" s="17" t="s">
        <v>2</v>
      </c>
      <c r="D11" s="17" t="s">
        <v>3</v>
      </c>
      <c r="E11" s="10" t="s">
        <v>40</v>
      </c>
      <c r="F11" s="24">
        <v>2.430555555555556E-3</v>
      </c>
    </row>
    <row r="12" spans="1:6" ht="22" customHeight="1" x14ac:dyDescent="0.2">
      <c r="A12" s="19">
        <v>9</v>
      </c>
      <c r="B12" s="10" t="s">
        <v>102</v>
      </c>
      <c r="C12" s="17" t="s">
        <v>2</v>
      </c>
      <c r="D12" s="17" t="s">
        <v>3</v>
      </c>
      <c r="E12" s="10" t="s">
        <v>35</v>
      </c>
      <c r="F12" s="24">
        <v>3.5995370370370369E-3</v>
      </c>
    </row>
    <row r="13" spans="1:6" ht="22" customHeight="1" x14ac:dyDescent="0.2">
      <c r="A13" s="19">
        <v>10</v>
      </c>
      <c r="B13" s="10" t="s">
        <v>128</v>
      </c>
      <c r="C13" s="17" t="s">
        <v>2</v>
      </c>
      <c r="D13" s="17" t="s">
        <v>3</v>
      </c>
      <c r="E13" s="10" t="s">
        <v>40</v>
      </c>
      <c r="F13" s="24">
        <f>VLOOKUP(B13,'Song Tracker'!$A$3:$F$49,6,FALSE)</f>
        <v>2.0833333333333329E-3</v>
      </c>
    </row>
    <row r="14" spans="1:6" ht="22" customHeight="1" x14ac:dyDescent="0.2">
      <c r="A14" s="19">
        <v>11</v>
      </c>
      <c r="B14" s="10" t="s">
        <v>61</v>
      </c>
      <c r="C14" s="17" t="s">
        <v>2</v>
      </c>
      <c r="D14" s="17" t="s">
        <v>3</v>
      </c>
      <c r="E14" s="10" t="s">
        <v>35</v>
      </c>
      <c r="F14" s="24">
        <v>2.743055555555555E-3</v>
      </c>
    </row>
    <row r="15" spans="1:6" ht="22" customHeight="1" x14ac:dyDescent="0.2">
      <c r="A15" s="19">
        <v>12</v>
      </c>
      <c r="B15" s="10" t="s">
        <v>100</v>
      </c>
      <c r="C15" s="17" t="s">
        <v>2</v>
      </c>
      <c r="D15" s="17" t="s">
        <v>3</v>
      </c>
      <c r="E15" s="10" t="s">
        <v>44</v>
      </c>
      <c r="F15" s="24">
        <v>2.0486111111111109E-3</v>
      </c>
    </row>
    <row r="16" spans="1:6" ht="22" customHeight="1" x14ac:dyDescent="0.2">
      <c r="A16" s="19">
        <v>13</v>
      </c>
      <c r="B16" s="10" t="s">
        <v>131</v>
      </c>
      <c r="C16" s="17" t="s">
        <v>2</v>
      </c>
      <c r="D16" s="17" t="s">
        <v>3</v>
      </c>
      <c r="E16" s="10" t="s">
        <v>44</v>
      </c>
      <c r="F16" s="24">
        <v>3.3217592592592591E-3</v>
      </c>
    </row>
    <row r="17" spans="1:6" x14ac:dyDescent="0.2">
      <c r="A17" s="11"/>
      <c r="B17" s="9"/>
      <c r="C17" s="12"/>
      <c r="D17" s="12"/>
      <c r="E17" s="9"/>
      <c r="F17" s="25"/>
    </row>
    <row r="18" spans="1:6" ht="22" customHeight="1" thickBot="1" x14ac:dyDescent="0.25">
      <c r="A18" s="13"/>
      <c r="B18" s="14" t="s">
        <v>170</v>
      </c>
      <c r="C18" s="15"/>
      <c r="D18" s="15"/>
      <c r="E18" s="14"/>
      <c r="F18" s="16">
        <f>SUM(F4:F17)</f>
        <v>3.457175925925926E-2</v>
      </c>
    </row>
  </sheetData>
  <mergeCells count="2">
    <mergeCell ref="A2:F2"/>
    <mergeCell ref="A1:F1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179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107</v>
      </c>
      <c r="C6" s="17" t="s">
        <v>2</v>
      </c>
      <c r="D6" s="17" t="s">
        <v>3</v>
      </c>
      <c r="E6" s="10" t="s">
        <v>35</v>
      </c>
      <c r="F6" s="24">
        <v>2.9513888888888888E-3</v>
      </c>
    </row>
    <row r="7" spans="1:6" ht="22" customHeight="1" x14ac:dyDescent="0.2">
      <c r="A7" s="19">
        <v>5</v>
      </c>
      <c r="B7" s="10" t="s">
        <v>114</v>
      </c>
      <c r="C7" s="17" t="s">
        <v>2</v>
      </c>
      <c r="D7" s="17" t="s">
        <v>3</v>
      </c>
      <c r="E7" s="10" t="s">
        <v>44</v>
      </c>
      <c r="F7" s="24">
        <v>3.368055555555556E-3</v>
      </c>
    </row>
    <row r="8" spans="1:6" ht="22" customHeight="1" x14ac:dyDescent="0.2">
      <c r="A8" s="19">
        <v>6</v>
      </c>
      <c r="B8" s="10" t="s">
        <v>38</v>
      </c>
      <c r="C8" s="18"/>
      <c r="D8" s="18"/>
      <c r="E8" s="10" t="s">
        <v>40</v>
      </c>
      <c r="F8" s="24">
        <f>VLOOKUP(B8,'Song Tracker'!$A$3:$F$49,6,FALSE)</f>
        <v>2.7662037037037039E-3</v>
      </c>
    </row>
    <row r="9" spans="1:6" ht="22" customHeight="1" x14ac:dyDescent="0.2">
      <c r="A9" s="19">
        <v>7</v>
      </c>
      <c r="B9" s="10" t="s">
        <v>77</v>
      </c>
      <c r="C9" s="17" t="s">
        <v>2</v>
      </c>
      <c r="D9" s="17" t="s">
        <v>3</v>
      </c>
      <c r="E9" s="10" t="s">
        <v>40</v>
      </c>
      <c r="F9" s="24">
        <v>2.430555555555556E-3</v>
      </c>
    </row>
    <row r="10" spans="1:6" ht="22" customHeight="1" x14ac:dyDescent="0.2">
      <c r="A10" s="19">
        <v>8</v>
      </c>
      <c r="B10" s="10" t="s">
        <v>137</v>
      </c>
      <c r="C10" s="17" t="s">
        <v>2</v>
      </c>
      <c r="D10" s="17" t="s">
        <v>3</v>
      </c>
      <c r="E10" s="10" t="s">
        <v>40</v>
      </c>
      <c r="F10" s="24">
        <v>2.0949074074074069E-3</v>
      </c>
    </row>
    <row r="11" spans="1:6" ht="22" customHeight="1" x14ac:dyDescent="0.2">
      <c r="A11" s="19">
        <v>9</v>
      </c>
      <c r="B11" s="10" t="s">
        <v>70</v>
      </c>
      <c r="C11" s="17" t="s">
        <v>2</v>
      </c>
      <c r="D11" s="17" t="s">
        <v>3</v>
      </c>
      <c r="E11" s="10" t="s">
        <v>40</v>
      </c>
      <c r="F11" s="24">
        <v>2.7893518518518519E-3</v>
      </c>
    </row>
    <row r="12" spans="1:6" ht="22" customHeight="1" x14ac:dyDescent="0.2">
      <c r="A12" s="19">
        <v>10</v>
      </c>
      <c r="B12" s="10" t="s">
        <v>102</v>
      </c>
      <c r="C12" s="17" t="s">
        <v>2</v>
      </c>
      <c r="D12" s="17" t="s">
        <v>3</v>
      </c>
      <c r="E12" s="10" t="s">
        <v>35</v>
      </c>
      <c r="F12" s="24">
        <v>3.5995370370370369E-3</v>
      </c>
    </row>
    <row r="13" spans="1:6" ht="22" customHeight="1" x14ac:dyDescent="0.2">
      <c r="A13" s="19">
        <v>11</v>
      </c>
      <c r="B13" s="10" t="s">
        <v>87</v>
      </c>
      <c r="C13" s="18"/>
      <c r="D13" s="17" t="s">
        <v>3</v>
      </c>
      <c r="E13" s="10" t="s">
        <v>35</v>
      </c>
      <c r="F13" s="24">
        <f>VLOOKUP(B13,'Song Tracker'!$A$3:$F$49,6,FALSE)</f>
        <v>2.604166666666667E-3</v>
      </c>
    </row>
    <row r="14" spans="1:6" ht="22" customHeight="1" x14ac:dyDescent="0.2">
      <c r="A14" s="19">
        <v>12</v>
      </c>
      <c r="B14" s="10" t="s">
        <v>109</v>
      </c>
      <c r="C14" s="17" t="s">
        <v>2</v>
      </c>
      <c r="D14" s="17" t="s">
        <v>3</v>
      </c>
      <c r="E14" s="10" t="s">
        <v>40</v>
      </c>
      <c r="F14" s="24">
        <v>4.1319444444444442E-3</v>
      </c>
    </row>
    <row r="15" spans="1:6" ht="22" customHeight="1" x14ac:dyDescent="0.2">
      <c r="A15" s="19">
        <v>13</v>
      </c>
      <c r="B15" s="10" t="s">
        <v>128</v>
      </c>
      <c r="C15" s="17" t="s">
        <v>2</v>
      </c>
      <c r="D15" s="17" t="s">
        <v>3</v>
      </c>
      <c r="E15" s="10" t="s">
        <v>40</v>
      </c>
      <c r="F15" s="24">
        <f>VLOOKUP(B15,'Song Tracker'!$A$3:$F$49,6,FALSE)</f>
        <v>2.0833333333333329E-3</v>
      </c>
    </row>
    <row r="16" spans="1:6" ht="22" customHeight="1" x14ac:dyDescent="0.2">
      <c r="A16" s="19">
        <v>14</v>
      </c>
      <c r="B16" s="10" t="s">
        <v>131</v>
      </c>
      <c r="C16" s="17" t="s">
        <v>2</v>
      </c>
      <c r="D16" s="17" t="s">
        <v>3</v>
      </c>
      <c r="E16" s="10" t="s">
        <v>44</v>
      </c>
      <c r="F16" s="24">
        <v>3.3217592592592591E-3</v>
      </c>
    </row>
    <row r="17" spans="1:6" ht="22" customHeight="1" x14ac:dyDescent="0.2">
      <c r="A17" s="19">
        <v>15</v>
      </c>
      <c r="B17" s="10" t="s">
        <v>132</v>
      </c>
      <c r="C17" s="18"/>
      <c r="D17" s="18"/>
      <c r="E17" s="10" t="s">
        <v>136</v>
      </c>
      <c r="F17" s="24"/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170</v>
      </c>
      <c r="C19" s="15"/>
      <c r="D19" s="15"/>
      <c r="E19" s="14"/>
      <c r="F19" s="16">
        <f>SUM(F4:F18)</f>
        <v>3.6909722222222226E-2</v>
      </c>
    </row>
  </sheetData>
  <mergeCells count="2">
    <mergeCell ref="A2:F2"/>
    <mergeCell ref="A1:F1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9" r:id="rId9" xr:uid="{00000000-0004-0000-0A00-000008000000}"/>
    <hyperlink ref="D9" r:id="rId10" xr:uid="{00000000-0004-0000-0A00-000009000000}"/>
    <hyperlink ref="C10" r:id="rId11" xr:uid="{00000000-0004-0000-0A00-00000A000000}"/>
    <hyperlink ref="D10" r:id="rId12" xr:uid="{00000000-0004-0000-0A00-00000B000000}"/>
    <hyperlink ref="C11" r:id="rId13" xr:uid="{00000000-0004-0000-0A00-00000C000000}"/>
    <hyperlink ref="D11" r:id="rId14" xr:uid="{00000000-0004-0000-0A00-00000D000000}"/>
    <hyperlink ref="C12" r:id="rId15" xr:uid="{00000000-0004-0000-0A00-00000E000000}"/>
    <hyperlink ref="D12" r:id="rId16" xr:uid="{00000000-0004-0000-0A00-00000F000000}"/>
    <hyperlink ref="D13" r:id="rId17" xr:uid="{00000000-0004-0000-0A00-000010000000}"/>
    <hyperlink ref="C14" r:id="rId18" xr:uid="{00000000-0004-0000-0A00-000011000000}"/>
    <hyperlink ref="D14" r:id="rId19" xr:uid="{00000000-0004-0000-0A00-000012000000}"/>
    <hyperlink ref="C15" r:id="rId20" xr:uid="{00000000-0004-0000-0A00-000013000000}"/>
    <hyperlink ref="D15" r:id="rId21" xr:uid="{00000000-0004-0000-0A00-000014000000}"/>
    <hyperlink ref="C16" r:id="rId22" xr:uid="{00000000-0004-0000-0A00-000015000000}"/>
    <hyperlink ref="D16" r:id="rId23" xr:uid="{00000000-0004-0000-0A00-000016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180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107</v>
      </c>
      <c r="C6" s="17" t="s">
        <v>2</v>
      </c>
      <c r="D6" s="17" t="s">
        <v>3</v>
      </c>
      <c r="E6" s="10" t="s">
        <v>35</v>
      </c>
      <c r="F6" s="24">
        <v>2.9513888888888888E-3</v>
      </c>
    </row>
    <row r="7" spans="1:6" ht="22" customHeight="1" x14ac:dyDescent="0.2">
      <c r="A7" s="19">
        <v>4</v>
      </c>
      <c r="B7" s="10" t="s">
        <v>59</v>
      </c>
      <c r="C7" s="17" t="s">
        <v>2</v>
      </c>
      <c r="D7" s="17" t="s">
        <v>3</v>
      </c>
      <c r="E7" s="10" t="s">
        <v>40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114</v>
      </c>
      <c r="C8" s="17" t="s">
        <v>2</v>
      </c>
      <c r="D8" s="17" t="s">
        <v>3</v>
      </c>
      <c r="E8" s="10" t="s">
        <v>44</v>
      </c>
      <c r="F8" s="24">
        <v>3.368055555555556E-3</v>
      </c>
    </row>
    <row r="9" spans="1:6" ht="22" customHeight="1" x14ac:dyDescent="0.2">
      <c r="A9" s="19">
        <v>6</v>
      </c>
      <c r="B9" s="10" t="s">
        <v>122</v>
      </c>
      <c r="C9" s="17" t="s">
        <v>2</v>
      </c>
      <c r="D9" s="17" t="s">
        <v>3</v>
      </c>
      <c r="E9" s="10" t="s">
        <v>44</v>
      </c>
      <c r="F9" s="24">
        <v>3.460648148148148E-3</v>
      </c>
    </row>
    <row r="10" spans="1:6" ht="22" customHeight="1" x14ac:dyDescent="0.2">
      <c r="A10" s="19">
        <v>7</v>
      </c>
      <c r="B10" s="10" t="s">
        <v>105</v>
      </c>
      <c r="C10" s="17" t="s">
        <v>2</v>
      </c>
      <c r="D10" s="17" t="s">
        <v>3</v>
      </c>
      <c r="E10" s="10" t="s">
        <v>40</v>
      </c>
      <c r="F10" s="24">
        <v>3.2291666666666671E-3</v>
      </c>
    </row>
    <row r="11" spans="1:6" ht="22" customHeight="1" x14ac:dyDescent="0.2">
      <c r="A11" s="19">
        <v>8</v>
      </c>
      <c r="B11" s="10" t="s">
        <v>38</v>
      </c>
      <c r="C11" s="18"/>
      <c r="D11" s="18"/>
      <c r="E11" s="10" t="s">
        <v>40</v>
      </c>
      <c r="F11" s="24">
        <f>VLOOKUP(B11,'Song Tracker'!$A$3:$F$49,6,FALSE)</f>
        <v>2.7662037037037039E-3</v>
      </c>
    </row>
    <row r="12" spans="1:6" ht="22" customHeight="1" x14ac:dyDescent="0.2">
      <c r="A12" s="19">
        <v>9</v>
      </c>
      <c r="B12" s="10" t="s">
        <v>77</v>
      </c>
      <c r="C12" s="17" t="s">
        <v>2</v>
      </c>
      <c r="D12" s="17" t="s">
        <v>3</v>
      </c>
      <c r="E12" s="10" t="s">
        <v>40</v>
      </c>
      <c r="F12" s="24">
        <v>2.430555555555556E-3</v>
      </c>
    </row>
    <row r="13" spans="1:6" ht="22" customHeight="1" x14ac:dyDescent="0.2">
      <c r="A13" s="19">
        <v>10</v>
      </c>
      <c r="B13" s="10" t="s">
        <v>64</v>
      </c>
      <c r="C13" s="17" t="s">
        <v>2</v>
      </c>
      <c r="D13" s="17" t="s">
        <v>3</v>
      </c>
      <c r="E13" s="10" t="s">
        <v>35</v>
      </c>
      <c r="F13" s="24">
        <f>VLOOKUP(B13,'Song Tracker'!$A$3:$F$49,6,FALSE)</f>
        <v>2.3032407407407411E-3</v>
      </c>
    </row>
    <row r="14" spans="1:6" ht="22" customHeight="1" x14ac:dyDescent="0.2">
      <c r="A14" s="19">
        <v>11</v>
      </c>
      <c r="B14" s="10" t="s">
        <v>137</v>
      </c>
      <c r="C14" s="17" t="s">
        <v>2</v>
      </c>
      <c r="D14" s="17" t="s">
        <v>3</v>
      </c>
      <c r="E14" s="10" t="s">
        <v>40</v>
      </c>
      <c r="F14" s="24">
        <v>2.0949074074074069E-3</v>
      </c>
    </row>
    <row r="15" spans="1:6" ht="22" customHeight="1" x14ac:dyDescent="0.2">
      <c r="A15" s="19">
        <v>12</v>
      </c>
      <c r="B15" s="10" t="s">
        <v>100</v>
      </c>
      <c r="C15" s="17" t="s">
        <v>2</v>
      </c>
      <c r="D15" s="17" t="s">
        <v>3</v>
      </c>
      <c r="E15" s="10" t="s">
        <v>44</v>
      </c>
      <c r="F15" s="24">
        <v>2.0486111111111109E-3</v>
      </c>
    </row>
    <row r="16" spans="1:6" ht="22" customHeight="1" x14ac:dyDescent="0.2">
      <c r="A16" s="19">
        <v>13</v>
      </c>
      <c r="B16" s="10" t="s">
        <v>124</v>
      </c>
      <c r="C16" s="17" t="s">
        <v>2</v>
      </c>
      <c r="D16" s="17" t="s">
        <v>3</v>
      </c>
      <c r="E16" s="10" t="s">
        <v>44</v>
      </c>
      <c r="F16" s="24">
        <v>2.2569444444444438E-3</v>
      </c>
    </row>
    <row r="17" spans="1:6" ht="22" customHeight="1" x14ac:dyDescent="0.2">
      <c r="A17" s="19">
        <v>14</v>
      </c>
      <c r="B17" s="10" t="s">
        <v>70</v>
      </c>
      <c r="C17" s="17" t="s">
        <v>2</v>
      </c>
      <c r="D17" s="17" t="s">
        <v>3</v>
      </c>
      <c r="E17" s="10" t="s">
        <v>40</v>
      </c>
      <c r="F17" s="24">
        <v>2.7893518518518519E-3</v>
      </c>
    </row>
    <row r="18" spans="1:6" ht="22" customHeight="1" x14ac:dyDescent="0.2">
      <c r="A18" s="19">
        <v>15</v>
      </c>
      <c r="B18" s="10" t="s">
        <v>102</v>
      </c>
      <c r="C18" s="17" t="s">
        <v>2</v>
      </c>
      <c r="D18" s="17" t="s">
        <v>3</v>
      </c>
      <c r="E18" s="10" t="s">
        <v>35</v>
      </c>
      <c r="F18" s="24">
        <v>3.5995370370370369E-3</v>
      </c>
    </row>
    <row r="19" spans="1:6" ht="22" customHeight="1" x14ac:dyDescent="0.2">
      <c r="A19" s="19">
        <v>16</v>
      </c>
      <c r="B19" s="10" t="s">
        <v>72</v>
      </c>
      <c r="C19" s="17" t="s">
        <v>2</v>
      </c>
      <c r="D19" s="17" t="s">
        <v>3</v>
      </c>
      <c r="E19" s="10" t="s">
        <v>44</v>
      </c>
      <c r="F19" s="24">
        <v>2.488425925925926E-3</v>
      </c>
    </row>
    <row r="20" spans="1:6" ht="22" customHeight="1" x14ac:dyDescent="0.2">
      <c r="A20" s="19">
        <v>17</v>
      </c>
      <c r="B20" s="10" t="s">
        <v>87</v>
      </c>
      <c r="C20" s="18"/>
      <c r="D20" s="17" t="s">
        <v>3</v>
      </c>
      <c r="E20" s="10" t="s">
        <v>35</v>
      </c>
      <c r="F20" s="24">
        <f>VLOOKUP(B20,'Song Tracker'!$A$3:$F$49,6,FALSE)</f>
        <v>2.604166666666667E-3</v>
      </c>
    </row>
    <row r="21" spans="1:6" ht="22" customHeight="1" x14ac:dyDescent="0.2">
      <c r="A21" s="19">
        <v>18</v>
      </c>
      <c r="B21" s="10" t="s">
        <v>93</v>
      </c>
      <c r="C21" s="17" t="s">
        <v>2</v>
      </c>
      <c r="D21" s="17" t="s">
        <v>3</v>
      </c>
      <c r="E21" s="10" t="s">
        <v>55</v>
      </c>
      <c r="F21" s="24">
        <v>1.9791666666666668E-3</v>
      </c>
    </row>
    <row r="22" spans="1:6" ht="22" customHeight="1" x14ac:dyDescent="0.2">
      <c r="A22" s="19">
        <v>19</v>
      </c>
      <c r="B22" s="10" t="s">
        <v>53</v>
      </c>
      <c r="C22" s="17" t="s">
        <v>2</v>
      </c>
      <c r="D22" s="17" t="s">
        <v>3</v>
      </c>
      <c r="E22" s="10" t="s">
        <v>55</v>
      </c>
      <c r="F22" s="24">
        <v>1.747685185185185E-3</v>
      </c>
    </row>
    <row r="23" spans="1:6" ht="22" customHeight="1" x14ac:dyDescent="0.2">
      <c r="A23" s="19">
        <v>20</v>
      </c>
      <c r="B23" s="10" t="s">
        <v>46</v>
      </c>
      <c r="C23" s="17" t="s">
        <v>2</v>
      </c>
      <c r="D23" s="17" t="s">
        <v>3</v>
      </c>
      <c r="E23" s="10" t="s">
        <v>35</v>
      </c>
      <c r="F23" s="24">
        <v>2.5810185185185189E-3</v>
      </c>
    </row>
    <row r="24" spans="1:6" ht="22" customHeight="1" x14ac:dyDescent="0.2">
      <c r="A24" s="19">
        <v>21</v>
      </c>
      <c r="B24" s="10" t="s">
        <v>109</v>
      </c>
      <c r="C24" s="17" t="s">
        <v>2</v>
      </c>
      <c r="D24" s="17" t="s">
        <v>3</v>
      </c>
      <c r="E24" s="10" t="s">
        <v>40</v>
      </c>
      <c r="F24" s="24">
        <v>4.1319444444444442E-3</v>
      </c>
    </row>
    <row r="25" spans="1:6" ht="22" customHeight="1" x14ac:dyDescent="0.2">
      <c r="A25" s="19">
        <v>22</v>
      </c>
      <c r="B25" s="10" t="s">
        <v>89</v>
      </c>
      <c r="C25" s="17" t="s">
        <v>2</v>
      </c>
      <c r="D25" s="18"/>
      <c r="E25" s="10" t="s">
        <v>44</v>
      </c>
      <c r="F25" s="24">
        <v>3.8541666666666672E-3</v>
      </c>
    </row>
    <row r="26" spans="1:6" ht="22" customHeight="1" x14ac:dyDescent="0.2">
      <c r="A26" s="19">
        <v>23</v>
      </c>
      <c r="B26" s="10" t="s">
        <v>42</v>
      </c>
      <c r="C26" s="17" t="s">
        <v>2</v>
      </c>
      <c r="D26" s="17" t="s">
        <v>3</v>
      </c>
      <c r="E26" s="10" t="s">
        <v>44</v>
      </c>
      <c r="F26" s="24">
        <f>VLOOKUP(B26,'Song Tracker'!$A$3:$F$49,6,FALSE)</f>
        <v>3.9583333333333337E-3</v>
      </c>
    </row>
    <row r="27" spans="1:6" ht="22" customHeight="1" x14ac:dyDescent="0.2">
      <c r="A27" s="19">
        <v>24</v>
      </c>
      <c r="B27" s="10" t="s">
        <v>48</v>
      </c>
      <c r="C27" s="17" t="s">
        <v>2</v>
      </c>
      <c r="D27" s="17" t="s">
        <v>3</v>
      </c>
      <c r="E27" s="10" t="s">
        <v>35</v>
      </c>
      <c r="F27" s="24">
        <v>2.719907407407407E-3</v>
      </c>
    </row>
    <row r="28" spans="1:6" ht="22" customHeight="1" x14ac:dyDescent="0.2">
      <c r="A28" s="19">
        <v>25</v>
      </c>
      <c r="B28" s="10" t="s">
        <v>128</v>
      </c>
      <c r="C28" s="17" t="s">
        <v>2</v>
      </c>
      <c r="D28" s="17" t="s">
        <v>3</v>
      </c>
      <c r="E28" s="10" t="s">
        <v>40</v>
      </c>
      <c r="F28" s="24">
        <f>VLOOKUP(B28,'Song Tracker'!$A$3:$F$49,6,FALSE)</f>
        <v>2.0833333333333329E-3</v>
      </c>
    </row>
    <row r="29" spans="1:6" ht="22" customHeight="1" x14ac:dyDescent="0.2">
      <c r="A29" s="19">
        <v>26</v>
      </c>
      <c r="B29" s="10" t="s">
        <v>81</v>
      </c>
      <c r="C29" s="17" t="s">
        <v>2</v>
      </c>
      <c r="D29" s="17" t="s">
        <v>3</v>
      </c>
      <c r="E29" s="10" t="s">
        <v>35</v>
      </c>
      <c r="F29" s="24">
        <v>4.6874999999999998E-3</v>
      </c>
    </row>
    <row r="30" spans="1:6" ht="22" customHeight="1" x14ac:dyDescent="0.2">
      <c r="A30" s="19">
        <v>27</v>
      </c>
      <c r="B30" s="10" t="s">
        <v>131</v>
      </c>
      <c r="C30" s="17" t="s">
        <v>2</v>
      </c>
      <c r="D30" s="17" t="s">
        <v>3</v>
      </c>
      <c r="E30" s="10" t="s">
        <v>44</v>
      </c>
      <c r="F30" s="24">
        <v>3.3217592592592591E-3</v>
      </c>
    </row>
    <row r="31" spans="1:6" ht="22" customHeight="1" x14ac:dyDescent="0.2">
      <c r="A31" s="19">
        <v>28</v>
      </c>
      <c r="B31" s="10" t="s">
        <v>111</v>
      </c>
      <c r="C31" s="17" t="s">
        <v>2</v>
      </c>
      <c r="D31" s="17" t="s">
        <v>3</v>
      </c>
      <c r="E31" s="10" t="s">
        <v>40</v>
      </c>
      <c r="F31" s="24">
        <v>5.9606481481481481E-3</v>
      </c>
    </row>
    <row r="32" spans="1:6" x14ac:dyDescent="0.2">
      <c r="A32" s="11"/>
      <c r="B32" s="9"/>
      <c r="C32" s="12"/>
      <c r="D32" s="12"/>
      <c r="E32" s="9"/>
      <c r="F32" s="25"/>
    </row>
    <row r="33" spans="1:6" ht="22" customHeight="1" thickBot="1" x14ac:dyDescent="0.25">
      <c r="A33" s="13"/>
      <c r="B33" s="14" t="s">
        <v>170</v>
      </c>
      <c r="C33" s="15"/>
      <c r="D33" s="15"/>
      <c r="E33" s="14"/>
      <c r="F33" s="16">
        <f>SUM(F4:F32)</f>
        <v>8.5740740740740742E-2</v>
      </c>
    </row>
  </sheetData>
  <mergeCells count="2">
    <mergeCell ref="A2:F2"/>
    <mergeCell ref="A1:F1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2" r:id="rId15" xr:uid="{00000000-0004-0000-0B00-00000E000000}"/>
    <hyperlink ref="D12" r:id="rId16" xr:uid="{00000000-0004-0000-0B00-00000F000000}"/>
    <hyperlink ref="C13" r:id="rId17" xr:uid="{00000000-0004-0000-0B00-000010000000}"/>
    <hyperlink ref="D13" r:id="rId18" xr:uid="{00000000-0004-0000-0B00-000011000000}"/>
    <hyperlink ref="C14" r:id="rId19" xr:uid="{00000000-0004-0000-0B00-000012000000}"/>
    <hyperlink ref="D14" r:id="rId20" xr:uid="{00000000-0004-0000-0B00-000013000000}"/>
    <hyperlink ref="C15" r:id="rId21" xr:uid="{00000000-0004-0000-0B00-000014000000}"/>
    <hyperlink ref="D15" r:id="rId22" xr:uid="{00000000-0004-0000-0B00-000015000000}"/>
    <hyperlink ref="C16" r:id="rId23" xr:uid="{00000000-0004-0000-0B00-000016000000}"/>
    <hyperlink ref="D16" r:id="rId24" xr:uid="{00000000-0004-0000-0B00-000017000000}"/>
    <hyperlink ref="C17" r:id="rId25" xr:uid="{00000000-0004-0000-0B00-000018000000}"/>
    <hyperlink ref="D17" r:id="rId26" xr:uid="{00000000-0004-0000-0B00-000019000000}"/>
    <hyperlink ref="C18" r:id="rId27" xr:uid="{00000000-0004-0000-0B00-00001A000000}"/>
    <hyperlink ref="D18" r:id="rId28" xr:uid="{00000000-0004-0000-0B00-00001B000000}"/>
    <hyperlink ref="C19" r:id="rId29" xr:uid="{00000000-0004-0000-0B00-00001C000000}"/>
    <hyperlink ref="D19" r:id="rId30" xr:uid="{00000000-0004-0000-0B00-00001D000000}"/>
    <hyperlink ref="D20" r:id="rId31" xr:uid="{00000000-0004-0000-0B00-00001E000000}"/>
    <hyperlink ref="C21" r:id="rId32" xr:uid="{00000000-0004-0000-0B00-00001F000000}"/>
    <hyperlink ref="D21" r:id="rId33" xr:uid="{00000000-0004-0000-0B00-000020000000}"/>
    <hyperlink ref="C22" r:id="rId34" xr:uid="{00000000-0004-0000-0B00-000021000000}"/>
    <hyperlink ref="D22" r:id="rId35" xr:uid="{00000000-0004-0000-0B00-000022000000}"/>
    <hyperlink ref="C23" r:id="rId36" xr:uid="{00000000-0004-0000-0B00-000023000000}"/>
    <hyperlink ref="D23" r:id="rId37" xr:uid="{00000000-0004-0000-0B00-000024000000}"/>
    <hyperlink ref="C24" r:id="rId38" xr:uid="{00000000-0004-0000-0B00-000025000000}"/>
    <hyperlink ref="D24" r:id="rId39" xr:uid="{00000000-0004-0000-0B00-000026000000}"/>
    <hyperlink ref="C25" r:id="rId40" xr:uid="{00000000-0004-0000-0B00-000027000000}"/>
    <hyperlink ref="C26" r:id="rId41" xr:uid="{00000000-0004-0000-0B00-000028000000}"/>
    <hyperlink ref="D26" r:id="rId42" xr:uid="{00000000-0004-0000-0B00-000029000000}"/>
    <hyperlink ref="C27" r:id="rId43" xr:uid="{00000000-0004-0000-0B00-00002A000000}"/>
    <hyperlink ref="D27" r:id="rId44" xr:uid="{00000000-0004-0000-0B00-00002B000000}"/>
    <hyperlink ref="C28" r:id="rId45" xr:uid="{00000000-0004-0000-0B00-00002C000000}"/>
    <hyperlink ref="D28" r:id="rId46" xr:uid="{00000000-0004-0000-0B00-00002D000000}"/>
    <hyperlink ref="C29" r:id="rId47" xr:uid="{00000000-0004-0000-0B00-00002E000000}"/>
    <hyperlink ref="D29" r:id="rId48" xr:uid="{00000000-0004-0000-0B00-00002F000000}"/>
    <hyperlink ref="C30" r:id="rId49" xr:uid="{00000000-0004-0000-0B00-000030000000}"/>
    <hyperlink ref="D30" r:id="rId50" xr:uid="{00000000-0004-0000-0B00-000031000000}"/>
    <hyperlink ref="C31" r:id="rId51" xr:uid="{00000000-0004-0000-0B00-000032000000}"/>
    <hyperlink ref="D31" r:id="rId52" xr:uid="{00000000-0004-0000-0B00-000033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181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107</v>
      </c>
      <c r="C6" s="17" t="s">
        <v>2</v>
      </c>
      <c r="D6" s="17" t="s">
        <v>3</v>
      </c>
      <c r="E6" s="10" t="s">
        <v>35</v>
      </c>
      <c r="F6" s="24">
        <v>2.9513888888888888E-3</v>
      </c>
    </row>
    <row r="7" spans="1:6" ht="22" customHeight="1" x14ac:dyDescent="0.2">
      <c r="A7" s="19">
        <v>4</v>
      </c>
      <c r="B7" s="10" t="s">
        <v>59</v>
      </c>
      <c r="C7" s="17" t="s">
        <v>2</v>
      </c>
      <c r="D7" s="17" t="s">
        <v>3</v>
      </c>
      <c r="E7" s="10" t="s">
        <v>40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114</v>
      </c>
      <c r="C8" s="17" t="s">
        <v>2</v>
      </c>
      <c r="D8" s="17" t="s">
        <v>3</v>
      </c>
      <c r="E8" s="10" t="s">
        <v>44</v>
      </c>
      <c r="F8" s="24">
        <v>3.368055555555556E-3</v>
      </c>
    </row>
    <row r="9" spans="1:6" ht="22" customHeight="1" x14ac:dyDescent="0.2">
      <c r="A9" s="19">
        <v>6</v>
      </c>
      <c r="B9" s="10" t="s">
        <v>122</v>
      </c>
      <c r="C9" s="17" t="s">
        <v>2</v>
      </c>
      <c r="D9" s="17" t="s">
        <v>3</v>
      </c>
      <c r="E9" s="10" t="s">
        <v>44</v>
      </c>
      <c r="F9" s="24">
        <v>3.460648148148148E-3</v>
      </c>
    </row>
    <row r="10" spans="1:6" ht="22" customHeight="1" x14ac:dyDescent="0.2">
      <c r="A10" s="19">
        <v>7</v>
      </c>
      <c r="B10" s="10" t="s">
        <v>64</v>
      </c>
      <c r="C10" s="17" t="s">
        <v>2</v>
      </c>
      <c r="D10" s="17" t="s">
        <v>3</v>
      </c>
      <c r="E10" s="10" t="s">
        <v>35</v>
      </c>
      <c r="F10" s="24">
        <f>VLOOKUP(B10,'Song Tracker'!$A$3:$F$49,6,FALSE)</f>
        <v>2.3032407407407411E-3</v>
      </c>
    </row>
    <row r="11" spans="1:6" ht="22" customHeight="1" x14ac:dyDescent="0.2">
      <c r="A11" s="19">
        <v>8</v>
      </c>
      <c r="B11" s="10" t="s">
        <v>100</v>
      </c>
      <c r="C11" s="17" t="s">
        <v>2</v>
      </c>
      <c r="D11" s="17" t="s">
        <v>3</v>
      </c>
      <c r="E11" s="10" t="s">
        <v>44</v>
      </c>
      <c r="F11" s="24">
        <v>2.0486111111111109E-3</v>
      </c>
    </row>
    <row r="12" spans="1:6" ht="22" customHeight="1" x14ac:dyDescent="0.2">
      <c r="A12" s="19">
        <v>9</v>
      </c>
      <c r="B12" s="10" t="s">
        <v>77</v>
      </c>
      <c r="C12" s="17" t="s">
        <v>2</v>
      </c>
      <c r="D12" s="17" t="s">
        <v>3</v>
      </c>
      <c r="E12" s="10" t="s">
        <v>40</v>
      </c>
      <c r="F12" s="24">
        <v>2.430555555555556E-3</v>
      </c>
    </row>
    <row r="13" spans="1:6" ht="22" customHeight="1" x14ac:dyDescent="0.2">
      <c r="A13" s="19">
        <v>10</v>
      </c>
      <c r="B13" s="10" t="s">
        <v>124</v>
      </c>
      <c r="C13" s="17" t="s">
        <v>2</v>
      </c>
      <c r="D13" s="17" t="s">
        <v>3</v>
      </c>
      <c r="E13" s="10" t="s">
        <v>44</v>
      </c>
      <c r="F13" s="24">
        <v>2.2569444444444438E-3</v>
      </c>
    </row>
    <row r="14" spans="1:6" ht="22" customHeight="1" x14ac:dyDescent="0.2">
      <c r="A14" s="19">
        <v>11</v>
      </c>
      <c r="B14" s="10" t="s">
        <v>70</v>
      </c>
      <c r="C14" s="17" t="s">
        <v>2</v>
      </c>
      <c r="D14" s="17" t="s">
        <v>3</v>
      </c>
      <c r="E14" s="10" t="s">
        <v>40</v>
      </c>
      <c r="F14" s="24">
        <v>2.7893518518518519E-3</v>
      </c>
    </row>
    <row r="15" spans="1:6" ht="22" customHeight="1" x14ac:dyDescent="0.2">
      <c r="A15" s="19">
        <v>12</v>
      </c>
      <c r="B15" s="10" t="s">
        <v>102</v>
      </c>
      <c r="C15" s="17" t="s">
        <v>2</v>
      </c>
      <c r="D15" s="17" t="s">
        <v>3</v>
      </c>
      <c r="E15" s="10" t="s">
        <v>35</v>
      </c>
      <c r="F15" s="24">
        <v>3.5995370370370369E-3</v>
      </c>
    </row>
    <row r="16" spans="1:6" ht="22" customHeight="1" x14ac:dyDescent="0.2">
      <c r="A16" s="19">
        <v>13</v>
      </c>
      <c r="B16" s="10" t="s">
        <v>87</v>
      </c>
      <c r="C16" s="18"/>
      <c r="D16" s="17" t="s">
        <v>3</v>
      </c>
      <c r="E16" s="10" t="s">
        <v>35</v>
      </c>
      <c r="F16" s="24">
        <f>VLOOKUP(B16,'Song Tracker'!$A$3:$F$49,6,FALSE)</f>
        <v>2.604166666666667E-3</v>
      </c>
    </row>
    <row r="17" spans="1:6" ht="22" customHeight="1" x14ac:dyDescent="0.2">
      <c r="A17" s="19">
        <v>14</v>
      </c>
      <c r="B17" s="10" t="s">
        <v>93</v>
      </c>
      <c r="C17" s="17" t="s">
        <v>2</v>
      </c>
      <c r="D17" s="17" t="s">
        <v>3</v>
      </c>
      <c r="E17" s="10" t="s">
        <v>55</v>
      </c>
      <c r="F17" s="24">
        <v>1.9791666666666668E-3</v>
      </c>
    </row>
    <row r="18" spans="1:6" ht="22" customHeight="1" x14ac:dyDescent="0.2">
      <c r="A18" s="19">
        <v>15</v>
      </c>
      <c r="B18" s="10" t="s">
        <v>53</v>
      </c>
      <c r="C18" s="17" t="s">
        <v>2</v>
      </c>
      <c r="D18" s="17" t="s">
        <v>3</v>
      </c>
      <c r="E18" s="10" t="s">
        <v>55</v>
      </c>
      <c r="F18" s="24">
        <v>1.747685185185185E-3</v>
      </c>
    </row>
    <row r="19" spans="1:6" ht="22" customHeight="1" x14ac:dyDescent="0.2">
      <c r="A19" s="19">
        <v>16</v>
      </c>
      <c r="B19" s="10" t="s">
        <v>109</v>
      </c>
      <c r="C19" s="17" t="s">
        <v>2</v>
      </c>
      <c r="D19" s="17" t="s">
        <v>3</v>
      </c>
      <c r="E19" s="10" t="s">
        <v>40</v>
      </c>
      <c r="F19" s="24">
        <v>4.1319444444444442E-3</v>
      </c>
    </row>
    <row r="20" spans="1:6" ht="22" customHeight="1" x14ac:dyDescent="0.2">
      <c r="A20" s="19">
        <v>17</v>
      </c>
      <c r="B20" s="10" t="s">
        <v>89</v>
      </c>
      <c r="C20" s="17" t="s">
        <v>2</v>
      </c>
      <c r="D20" s="18"/>
      <c r="E20" s="10" t="s">
        <v>44</v>
      </c>
      <c r="F20" s="24">
        <v>3.8541666666666672E-3</v>
      </c>
    </row>
    <row r="21" spans="1:6" ht="22" customHeight="1" x14ac:dyDescent="0.2">
      <c r="A21" s="19">
        <v>18</v>
      </c>
      <c r="B21" s="10" t="s">
        <v>81</v>
      </c>
      <c r="C21" s="17" t="s">
        <v>2</v>
      </c>
      <c r="D21" s="17" t="s">
        <v>3</v>
      </c>
      <c r="E21" s="10" t="s">
        <v>35</v>
      </c>
      <c r="F21" s="24">
        <v>4.6874999999999998E-3</v>
      </c>
    </row>
    <row r="22" spans="1:6" ht="22" customHeight="1" x14ac:dyDescent="0.2">
      <c r="A22" s="19">
        <v>19</v>
      </c>
      <c r="B22" s="10" t="s">
        <v>131</v>
      </c>
      <c r="C22" s="17" t="s">
        <v>2</v>
      </c>
      <c r="D22" s="17" t="s">
        <v>3</v>
      </c>
      <c r="E22" s="10" t="s">
        <v>44</v>
      </c>
      <c r="F22" s="24">
        <v>3.3217592592592591E-3</v>
      </c>
    </row>
    <row r="23" spans="1:6" ht="22" customHeight="1" x14ac:dyDescent="0.2">
      <c r="A23" s="19" t="s">
        <v>182</v>
      </c>
      <c r="B23" s="10" t="s">
        <v>111</v>
      </c>
      <c r="C23" s="17" t="s">
        <v>2</v>
      </c>
      <c r="D23" s="17" t="s">
        <v>3</v>
      </c>
      <c r="E23" s="10" t="s">
        <v>40</v>
      </c>
      <c r="F23" s="24">
        <v>5.9606481481481481E-3</v>
      </c>
    </row>
    <row r="24" spans="1:6" x14ac:dyDescent="0.2">
      <c r="A24" s="11"/>
      <c r="B24" s="9"/>
      <c r="C24" s="12"/>
      <c r="D24" s="12"/>
      <c r="E24" s="9"/>
      <c r="F24" s="25"/>
    </row>
    <row r="25" spans="1:6" ht="22" customHeight="1" thickBot="1" x14ac:dyDescent="0.25">
      <c r="A25" s="13"/>
      <c r="B25" s="14" t="s">
        <v>170</v>
      </c>
      <c r="C25" s="15"/>
      <c r="D25" s="15"/>
      <c r="E25" s="14"/>
      <c r="F25" s="16">
        <f>SUM(F4:F24)</f>
        <v>6.3819444444444443E-2</v>
      </c>
    </row>
  </sheetData>
  <mergeCells count="2">
    <mergeCell ref="A2:F2"/>
    <mergeCell ref="A1:F1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D16" r:id="rId25" xr:uid="{00000000-0004-0000-0C00-000018000000}"/>
    <hyperlink ref="C17" r:id="rId26" xr:uid="{00000000-0004-0000-0C00-000019000000}"/>
    <hyperlink ref="D17" r:id="rId27" xr:uid="{00000000-0004-0000-0C00-00001A000000}"/>
    <hyperlink ref="C18" r:id="rId28" xr:uid="{00000000-0004-0000-0C00-00001B000000}"/>
    <hyperlink ref="D18" r:id="rId29" xr:uid="{00000000-0004-0000-0C00-00001C000000}"/>
    <hyperlink ref="C19" r:id="rId30" xr:uid="{00000000-0004-0000-0C00-00001D000000}"/>
    <hyperlink ref="D19" r:id="rId31" xr:uid="{00000000-0004-0000-0C00-00001E000000}"/>
    <hyperlink ref="C20" r:id="rId32" xr:uid="{00000000-0004-0000-0C00-00001F000000}"/>
    <hyperlink ref="C21" r:id="rId33" xr:uid="{00000000-0004-0000-0C00-000020000000}"/>
    <hyperlink ref="D21" r:id="rId34" xr:uid="{00000000-0004-0000-0C00-000021000000}"/>
    <hyperlink ref="C22" r:id="rId35" xr:uid="{00000000-0004-0000-0C00-000022000000}"/>
    <hyperlink ref="D22" r:id="rId36" xr:uid="{00000000-0004-0000-0C00-000023000000}"/>
    <hyperlink ref="C23" r:id="rId37" xr:uid="{00000000-0004-0000-0C00-000024000000}"/>
    <hyperlink ref="D23" r:id="rId38" xr:uid="{00000000-0004-0000-0C00-000025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183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128</v>
      </c>
      <c r="C4" s="17" t="s">
        <v>2</v>
      </c>
      <c r="D4" s="17" t="s">
        <v>3</v>
      </c>
      <c r="E4" s="10" t="s">
        <v>40</v>
      </c>
      <c r="F4" s="24">
        <f>VLOOKUP(B4,'Song Tracker'!$A$3:$F$49,6,FALSE)</f>
        <v>2.0833333333333329E-3</v>
      </c>
    </row>
    <row r="5" spans="1:6" ht="22" customHeight="1" x14ac:dyDescent="0.2">
      <c r="A5" s="19">
        <v>2</v>
      </c>
      <c r="B5" s="10" t="s">
        <v>107</v>
      </c>
      <c r="C5" s="17" t="s">
        <v>2</v>
      </c>
      <c r="D5" s="17" t="s">
        <v>3</v>
      </c>
      <c r="E5" s="10" t="s">
        <v>35</v>
      </c>
      <c r="F5" s="24">
        <v>2.9513888888888888E-3</v>
      </c>
    </row>
    <row r="6" spans="1:6" ht="22" customHeight="1" x14ac:dyDescent="0.2">
      <c r="A6" s="19">
        <v>3</v>
      </c>
      <c r="B6" s="10" t="s">
        <v>85</v>
      </c>
      <c r="C6" s="17" t="s">
        <v>2</v>
      </c>
      <c r="D6" s="17" t="s">
        <v>3</v>
      </c>
      <c r="E6" s="10" t="s">
        <v>35</v>
      </c>
      <c r="F6" s="24">
        <v>2.5810185185185189E-3</v>
      </c>
    </row>
    <row r="7" spans="1:6" ht="22" customHeight="1" x14ac:dyDescent="0.2">
      <c r="A7" s="19">
        <v>4</v>
      </c>
      <c r="B7" s="10" t="s">
        <v>102</v>
      </c>
      <c r="C7" s="17" t="s">
        <v>2</v>
      </c>
      <c r="D7" s="17" t="s">
        <v>3</v>
      </c>
      <c r="E7" s="10" t="s">
        <v>35</v>
      </c>
      <c r="F7" s="24">
        <v>3.5995370370370369E-3</v>
      </c>
    </row>
    <row r="8" spans="1:6" ht="22" customHeight="1" x14ac:dyDescent="0.2">
      <c r="A8" s="19">
        <v>5</v>
      </c>
      <c r="B8" s="10" t="s">
        <v>53</v>
      </c>
      <c r="C8" s="17" t="s">
        <v>2</v>
      </c>
      <c r="D8" s="17" t="s">
        <v>3</v>
      </c>
      <c r="E8" s="10" t="s">
        <v>55</v>
      </c>
      <c r="F8" s="24">
        <v>1.747685185185185E-3</v>
      </c>
    </row>
    <row r="9" spans="1:6" ht="22" customHeight="1" x14ac:dyDescent="0.2">
      <c r="A9" s="19">
        <v>6</v>
      </c>
      <c r="B9" s="10" t="s">
        <v>114</v>
      </c>
      <c r="C9" s="17" t="s">
        <v>2</v>
      </c>
      <c r="D9" s="17" t="s">
        <v>3</v>
      </c>
      <c r="E9" s="10" t="s">
        <v>44</v>
      </c>
      <c r="F9" s="24">
        <v>3.368055555555556E-3</v>
      </c>
    </row>
    <row r="10" spans="1:6" ht="22" customHeight="1" x14ac:dyDescent="0.2">
      <c r="A10" s="19">
        <v>7</v>
      </c>
      <c r="B10" s="10" t="s">
        <v>70</v>
      </c>
      <c r="C10" s="17" t="s">
        <v>2</v>
      </c>
      <c r="D10" s="17" t="s">
        <v>3</v>
      </c>
      <c r="E10" s="10" t="s">
        <v>40</v>
      </c>
      <c r="F10" s="24">
        <v>2.7893518518518519E-3</v>
      </c>
    </row>
    <row r="11" spans="1:6" ht="22" customHeight="1" x14ac:dyDescent="0.2">
      <c r="A11" s="19">
        <v>8</v>
      </c>
      <c r="B11" s="10" t="s">
        <v>87</v>
      </c>
      <c r="C11" s="18"/>
      <c r="D11" s="17" t="s">
        <v>3</v>
      </c>
      <c r="E11" s="10" t="s">
        <v>35</v>
      </c>
      <c r="F11" s="24">
        <f>VLOOKUP(B11,'Song Tracker'!$A$3:$F$49,6,FALSE)</f>
        <v>2.604166666666667E-3</v>
      </c>
    </row>
    <row r="12" spans="1:6" ht="22" customHeight="1" x14ac:dyDescent="0.2">
      <c r="A12" s="19">
        <v>9</v>
      </c>
      <c r="B12" s="10" t="s">
        <v>56</v>
      </c>
      <c r="C12" s="17" t="s">
        <v>2</v>
      </c>
      <c r="D12" s="17" t="s">
        <v>3</v>
      </c>
      <c r="E12" s="10" t="s">
        <v>40</v>
      </c>
      <c r="F12" s="24">
        <v>2.1875000000000002E-3</v>
      </c>
    </row>
    <row r="13" spans="1:6" ht="22" customHeight="1" x14ac:dyDescent="0.2">
      <c r="A13" s="19">
        <v>10</v>
      </c>
      <c r="B13" s="10" t="s">
        <v>100</v>
      </c>
      <c r="C13" s="17" t="s">
        <v>2</v>
      </c>
      <c r="D13" s="17" t="s">
        <v>3</v>
      </c>
      <c r="E13" s="10" t="s">
        <v>44</v>
      </c>
      <c r="F13" s="24">
        <v>2.0486111111111109E-3</v>
      </c>
    </row>
    <row r="14" spans="1:6" ht="22" customHeight="1" x14ac:dyDescent="0.2">
      <c r="A14" s="19">
        <v>11</v>
      </c>
      <c r="B14" s="10" t="s">
        <v>124</v>
      </c>
      <c r="C14" s="17" t="s">
        <v>2</v>
      </c>
      <c r="D14" s="17" t="s">
        <v>3</v>
      </c>
      <c r="E14" s="10" t="s">
        <v>44</v>
      </c>
      <c r="F14" s="24">
        <v>2.2569444444444438E-3</v>
      </c>
    </row>
    <row r="15" spans="1:6" ht="22" customHeight="1" x14ac:dyDescent="0.2">
      <c r="A15" s="19">
        <v>12</v>
      </c>
      <c r="B15" s="10" t="s">
        <v>46</v>
      </c>
      <c r="C15" s="17" t="s">
        <v>2</v>
      </c>
      <c r="D15" s="17" t="s">
        <v>3</v>
      </c>
      <c r="E15" s="10" t="s">
        <v>35</v>
      </c>
      <c r="F15" s="24">
        <v>2.5810185185185189E-3</v>
      </c>
    </row>
    <row r="16" spans="1:6" ht="22" customHeight="1" x14ac:dyDescent="0.2">
      <c r="A16" s="19">
        <v>13</v>
      </c>
      <c r="B16" s="10" t="s">
        <v>131</v>
      </c>
      <c r="C16" s="17" t="s">
        <v>2</v>
      </c>
      <c r="D16" s="17" t="s">
        <v>3</v>
      </c>
      <c r="E16" s="10" t="s">
        <v>44</v>
      </c>
      <c r="F16" s="24">
        <v>3.3217592592592591E-3</v>
      </c>
    </row>
    <row r="17" spans="1:6" ht="22" customHeight="1" x14ac:dyDescent="0.2">
      <c r="A17" s="19" t="s">
        <v>184</v>
      </c>
      <c r="B17" s="10" t="s">
        <v>111</v>
      </c>
      <c r="C17" s="17" t="s">
        <v>2</v>
      </c>
      <c r="D17" s="17" t="s">
        <v>3</v>
      </c>
      <c r="E17" s="10" t="s">
        <v>40</v>
      </c>
      <c r="F17" s="24">
        <v>5.9606481481481481E-3</v>
      </c>
    </row>
    <row r="18" spans="1:6" x14ac:dyDescent="0.2">
      <c r="A18" s="11"/>
      <c r="B18" s="9"/>
      <c r="C18" s="12"/>
      <c r="D18" s="12"/>
      <c r="E18" s="9"/>
      <c r="F18" s="25"/>
    </row>
    <row r="19" spans="1:6" ht="22" customHeight="1" thickBot="1" x14ac:dyDescent="0.25">
      <c r="A19" s="13"/>
      <c r="B19" s="14" t="s">
        <v>170</v>
      </c>
      <c r="C19" s="15"/>
      <c r="D19" s="15"/>
      <c r="E19" s="14"/>
      <c r="F19" s="16">
        <f>SUM(F4:F18)</f>
        <v>4.0081018518518516E-2</v>
      </c>
    </row>
  </sheetData>
  <mergeCells count="2">
    <mergeCell ref="A2:F2"/>
    <mergeCell ref="A1:F1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D11" r:id="rId15" xr:uid="{00000000-0004-0000-0D00-00000E000000}"/>
    <hyperlink ref="C12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  <hyperlink ref="C16" r:id="rId24" xr:uid="{00000000-0004-0000-0D00-000017000000}"/>
    <hyperlink ref="D16" r:id="rId25" xr:uid="{00000000-0004-0000-0D00-000018000000}"/>
    <hyperlink ref="C17" r:id="rId26" xr:uid="{00000000-0004-0000-0D00-000019000000}"/>
    <hyperlink ref="D17" r:id="rId27" xr:uid="{00000000-0004-0000-0D00-00001A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185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93</v>
      </c>
      <c r="C6" s="17" t="s">
        <v>2</v>
      </c>
      <c r="D6" s="17" t="s">
        <v>3</v>
      </c>
      <c r="E6" s="10" t="s">
        <v>55</v>
      </c>
      <c r="F6" s="24">
        <v>1.9791666666666668E-3</v>
      </c>
    </row>
    <row r="7" spans="1:6" ht="22" customHeight="1" x14ac:dyDescent="0.2">
      <c r="A7" s="19">
        <v>4</v>
      </c>
      <c r="B7" s="10" t="s">
        <v>102</v>
      </c>
      <c r="C7" s="17" t="s">
        <v>2</v>
      </c>
      <c r="D7" s="17" t="s">
        <v>3</v>
      </c>
      <c r="E7" s="10" t="s">
        <v>35</v>
      </c>
      <c r="F7" s="24">
        <v>3.5995370370370369E-3</v>
      </c>
    </row>
    <row r="8" spans="1:6" ht="22" customHeight="1" x14ac:dyDescent="0.2">
      <c r="A8" s="19">
        <v>5</v>
      </c>
      <c r="B8" s="10" t="s">
        <v>59</v>
      </c>
      <c r="C8" s="17" t="s">
        <v>2</v>
      </c>
      <c r="D8" s="17" t="s">
        <v>3</v>
      </c>
      <c r="E8" s="10" t="s">
        <v>40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107</v>
      </c>
      <c r="C9" s="17" t="s">
        <v>2</v>
      </c>
      <c r="D9" s="17" t="s">
        <v>3</v>
      </c>
      <c r="E9" s="10" t="s">
        <v>35</v>
      </c>
      <c r="F9" s="24">
        <v>2.9513888888888888E-3</v>
      </c>
    </row>
    <row r="10" spans="1:6" ht="22" customHeight="1" x14ac:dyDescent="0.2">
      <c r="A10" s="19">
        <v>7</v>
      </c>
      <c r="B10" s="10" t="s">
        <v>89</v>
      </c>
      <c r="C10" s="17" t="s">
        <v>2</v>
      </c>
      <c r="D10" s="18"/>
      <c r="E10" s="10" t="s">
        <v>44</v>
      </c>
      <c r="F10" s="24">
        <v>3.8541666666666672E-3</v>
      </c>
    </row>
    <row r="11" spans="1:6" ht="22" customHeight="1" x14ac:dyDescent="0.2">
      <c r="A11" s="19">
        <v>8</v>
      </c>
      <c r="B11" s="10" t="s">
        <v>100</v>
      </c>
      <c r="C11" s="17" t="s">
        <v>2</v>
      </c>
      <c r="D11" s="17" t="s">
        <v>3</v>
      </c>
      <c r="E11" s="10" t="s">
        <v>44</v>
      </c>
      <c r="F11" s="24">
        <v>2.0486111111111109E-3</v>
      </c>
    </row>
    <row r="12" spans="1:6" ht="22" customHeight="1" x14ac:dyDescent="0.2">
      <c r="A12" s="19">
        <v>9</v>
      </c>
      <c r="B12" s="10" t="s">
        <v>87</v>
      </c>
      <c r="C12" s="18"/>
      <c r="D12" s="17" t="s">
        <v>3</v>
      </c>
      <c r="E12" s="10" t="s">
        <v>35</v>
      </c>
      <c r="F12" s="24">
        <f>VLOOKUP(B12,'Song Tracker'!$A$3:$F$49,6,FALSE)</f>
        <v>2.604166666666667E-3</v>
      </c>
    </row>
    <row r="13" spans="1:6" ht="22" customHeight="1" x14ac:dyDescent="0.2">
      <c r="A13" s="19">
        <v>10</v>
      </c>
      <c r="B13" s="10" t="s">
        <v>53</v>
      </c>
      <c r="C13" s="17" t="s">
        <v>2</v>
      </c>
      <c r="D13" s="17" t="s">
        <v>3</v>
      </c>
      <c r="E13" s="10" t="s">
        <v>55</v>
      </c>
      <c r="F13" s="24">
        <v>1.747685185185185E-3</v>
      </c>
    </row>
    <row r="14" spans="1:6" ht="22" customHeight="1" x14ac:dyDescent="0.2">
      <c r="A14" s="19">
        <v>11</v>
      </c>
      <c r="B14" s="10" t="s">
        <v>131</v>
      </c>
      <c r="C14" s="17" t="s">
        <v>2</v>
      </c>
      <c r="D14" s="17" t="s">
        <v>3</v>
      </c>
      <c r="E14" s="10" t="s">
        <v>44</v>
      </c>
      <c r="F14" s="24">
        <v>3.3217592592592591E-3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170</v>
      </c>
      <c r="C16" s="15"/>
      <c r="D16" s="15"/>
      <c r="E16" s="14"/>
      <c r="F16" s="16">
        <f>SUM(F4:F15)</f>
        <v>3.243055555555556E-2</v>
      </c>
    </row>
  </sheetData>
  <mergeCells count="2">
    <mergeCell ref="A2:F2"/>
    <mergeCell ref="A1:F1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C11" r:id="rId14" xr:uid="{00000000-0004-0000-0E00-00000D000000}"/>
    <hyperlink ref="D11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186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137</v>
      </c>
      <c r="C5" s="17" t="s">
        <v>2</v>
      </c>
      <c r="D5" s="17" t="s">
        <v>3</v>
      </c>
      <c r="E5" s="10" t="s">
        <v>40</v>
      </c>
      <c r="F5" s="24">
        <v>2.0949074074074069E-3</v>
      </c>
    </row>
    <row r="6" spans="1:6" ht="22" customHeight="1" x14ac:dyDescent="0.2">
      <c r="A6" s="19">
        <v>3</v>
      </c>
      <c r="B6" s="10" t="s">
        <v>102</v>
      </c>
      <c r="C6" s="17" t="s">
        <v>2</v>
      </c>
      <c r="D6" s="17" t="s">
        <v>3</v>
      </c>
      <c r="E6" s="10" t="s">
        <v>35</v>
      </c>
      <c r="F6" s="24">
        <v>3.5995370370370369E-3</v>
      </c>
    </row>
    <row r="7" spans="1:6" ht="22" customHeight="1" x14ac:dyDescent="0.2">
      <c r="A7" s="19">
        <v>4</v>
      </c>
      <c r="B7" s="10" t="s">
        <v>72</v>
      </c>
      <c r="C7" s="17" t="s">
        <v>2</v>
      </c>
      <c r="D7" s="17" t="s">
        <v>3</v>
      </c>
      <c r="E7" s="10" t="s">
        <v>44</v>
      </c>
      <c r="F7" s="24">
        <v>2.488425925925926E-3</v>
      </c>
    </row>
    <row r="8" spans="1:6" ht="22" customHeight="1" x14ac:dyDescent="0.2">
      <c r="A8" s="19">
        <v>5</v>
      </c>
      <c r="B8" s="10" t="s">
        <v>93</v>
      </c>
      <c r="C8" s="17" t="s">
        <v>2</v>
      </c>
      <c r="D8" s="17" t="s">
        <v>3</v>
      </c>
      <c r="E8" s="10" t="s">
        <v>55</v>
      </c>
      <c r="F8" s="24">
        <v>1.9791666666666668E-3</v>
      </c>
    </row>
    <row r="9" spans="1:6" ht="22" customHeight="1" x14ac:dyDescent="0.2">
      <c r="A9" s="19">
        <v>6</v>
      </c>
      <c r="B9" s="10" t="s">
        <v>70</v>
      </c>
      <c r="C9" s="17" t="s">
        <v>2</v>
      </c>
      <c r="D9" s="17" t="s">
        <v>3</v>
      </c>
      <c r="E9" s="10" t="s">
        <v>40</v>
      </c>
      <c r="F9" s="24">
        <v>2.7893518518518519E-3</v>
      </c>
    </row>
    <row r="10" spans="1:6" ht="22" customHeight="1" x14ac:dyDescent="0.2">
      <c r="A10" s="19">
        <v>7</v>
      </c>
      <c r="B10" s="10" t="s">
        <v>46</v>
      </c>
      <c r="C10" s="17" t="s">
        <v>2</v>
      </c>
      <c r="D10" s="17" t="s">
        <v>3</v>
      </c>
      <c r="E10" s="10" t="s">
        <v>35</v>
      </c>
      <c r="F10" s="24">
        <v>2.5810185185185189E-3</v>
      </c>
    </row>
    <row r="11" spans="1:6" ht="22" customHeight="1" x14ac:dyDescent="0.2">
      <c r="A11" s="19">
        <v>8</v>
      </c>
      <c r="B11" s="10" t="s">
        <v>42</v>
      </c>
      <c r="C11" s="17" t="s">
        <v>2</v>
      </c>
      <c r="D11" s="17" t="s">
        <v>3</v>
      </c>
      <c r="E11" s="10" t="s">
        <v>44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104</v>
      </c>
      <c r="C12" s="17" t="s">
        <v>2</v>
      </c>
      <c r="D12" s="17" t="s">
        <v>3</v>
      </c>
      <c r="E12" s="10" t="s">
        <v>55</v>
      </c>
      <c r="F12" s="24">
        <f>VLOOKUP(B12,'Song Tracker'!$A$3:$F$49,6,FALSE)</f>
        <v>1.967592592592592E-3</v>
      </c>
    </row>
    <row r="13" spans="1:6" ht="22" customHeight="1" x14ac:dyDescent="0.2">
      <c r="A13" s="19">
        <v>10</v>
      </c>
      <c r="B13" s="10" t="s">
        <v>59</v>
      </c>
      <c r="C13" s="17" t="s">
        <v>2</v>
      </c>
      <c r="D13" s="17" t="s">
        <v>3</v>
      </c>
      <c r="E13" s="10" t="s">
        <v>40</v>
      </c>
      <c r="F13" s="24">
        <f>VLOOKUP(B13,'Song Tracker'!$A$3:$F$49,6,FALSE)</f>
        <v>5.5555555555555558E-3</v>
      </c>
    </row>
    <row r="14" spans="1:6" ht="22" customHeight="1" x14ac:dyDescent="0.2">
      <c r="A14" s="19">
        <v>11</v>
      </c>
      <c r="B14" s="10" t="s">
        <v>89</v>
      </c>
      <c r="C14" s="17" t="s">
        <v>2</v>
      </c>
      <c r="D14" s="18"/>
      <c r="E14" s="10" t="s">
        <v>44</v>
      </c>
      <c r="F14" s="24">
        <v>3.8541666666666672E-3</v>
      </c>
    </row>
    <row r="15" spans="1:6" ht="22" customHeight="1" x14ac:dyDescent="0.2">
      <c r="A15" s="19">
        <v>12</v>
      </c>
      <c r="B15" s="10" t="s">
        <v>105</v>
      </c>
      <c r="C15" s="17" t="s">
        <v>2</v>
      </c>
      <c r="D15" s="17" t="s">
        <v>3</v>
      </c>
      <c r="E15" s="10" t="s">
        <v>40</v>
      </c>
      <c r="F15" s="24">
        <v>3.2291666666666671E-3</v>
      </c>
    </row>
    <row r="16" spans="1:6" ht="22" customHeight="1" x14ac:dyDescent="0.2">
      <c r="A16" s="19">
        <v>13</v>
      </c>
      <c r="B16" s="10" t="s">
        <v>131</v>
      </c>
      <c r="C16" s="17" t="s">
        <v>2</v>
      </c>
      <c r="D16" s="17" t="s">
        <v>3</v>
      </c>
      <c r="E16" s="10" t="s">
        <v>44</v>
      </c>
      <c r="F16" s="24">
        <v>3.3217592592592591E-3</v>
      </c>
    </row>
    <row r="17" spans="1:6" ht="22" customHeight="1" x14ac:dyDescent="0.2">
      <c r="A17" s="19">
        <v>14</v>
      </c>
      <c r="B17" s="10" t="s">
        <v>118</v>
      </c>
      <c r="C17" s="17" t="s">
        <v>2</v>
      </c>
      <c r="D17" s="17" t="s">
        <v>3</v>
      </c>
      <c r="E17" s="10" t="s">
        <v>120</v>
      </c>
      <c r="F17" s="24">
        <f>VLOOKUP(B17,'Song Tracker'!$A$3:$F$49,6,FALSE)</f>
        <v>3.472222222222222E-3</v>
      </c>
    </row>
    <row r="18" spans="1:6" ht="22" customHeight="1" x14ac:dyDescent="0.2">
      <c r="A18" s="19">
        <v>15</v>
      </c>
      <c r="B18" s="10" t="s">
        <v>87</v>
      </c>
      <c r="C18" s="18"/>
      <c r="D18" s="17" t="s">
        <v>3</v>
      </c>
      <c r="E18" s="10" t="s">
        <v>35</v>
      </c>
      <c r="F18" s="24">
        <f>VLOOKUP(B18,'Song Tracker'!$A$3:$F$49,6,FALSE)</f>
        <v>2.604166666666667E-3</v>
      </c>
    </row>
    <row r="19" spans="1:6" ht="22" customHeight="1" x14ac:dyDescent="0.2">
      <c r="A19" s="19">
        <v>16</v>
      </c>
      <c r="B19" s="10" t="s">
        <v>83</v>
      </c>
      <c r="C19" s="17" t="s">
        <v>2</v>
      </c>
      <c r="D19" s="17" t="s">
        <v>3</v>
      </c>
      <c r="E19" s="10" t="s">
        <v>40</v>
      </c>
      <c r="F19" s="24">
        <f>VLOOKUP(B19,'Song Tracker'!$A$3:$F$49,6,FALSE)</f>
        <v>2.5115740740740741E-3</v>
      </c>
    </row>
    <row r="20" spans="1:6" ht="22" customHeight="1" x14ac:dyDescent="0.2">
      <c r="A20" s="19">
        <v>17</v>
      </c>
      <c r="B20" s="10" t="s">
        <v>57</v>
      </c>
      <c r="C20" s="17" t="s">
        <v>2</v>
      </c>
      <c r="D20" s="17" t="s">
        <v>3</v>
      </c>
      <c r="E20" s="10" t="s">
        <v>55</v>
      </c>
      <c r="F20" s="24">
        <f>VLOOKUP(B20,'Song Tracker'!$A$3:$F$49,6,FALSE)</f>
        <v>3.344907407407408E-3</v>
      </c>
    </row>
    <row r="21" spans="1:6" ht="22" customHeight="1" x14ac:dyDescent="0.2">
      <c r="A21" s="19">
        <v>18</v>
      </c>
      <c r="B21" s="10" t="s">
        <v>109</v>
      </c>
      <c r="C21" s="17" t="s">
        <v>2</v>
      </c>
      <c r="D21" s="17" t="s">
        <v>3</v>
      </c>
      <c r="E21" s="10" t="s">
        <v>40</v>
      </c>
      <c r="F21" s="24">
        <v>4.1319444444444442E-3</v>
      </c>
    </row>
    <row r="22" spans="1:6" ht="22" customHeight="1" x14ac:dyDescent="0.2">
      <c r="A22" s="19">
        <v>19</v>
      </c>
      <c r="B22" s="10" t="s">
        <v>107</v>
      </c>
      <c r="C22" s="17" t="s">
        <v>2</v>
      </c>
      <c r="D22" s="17" t="s">
        <v>3</v>
      </c>
      <c r="E22" s="10" t="s">
        <v>35</v>
      </c>
      <c r="F22" s="24">
        <v>2.9513888888888888E-3</v>
      </c>
    </row>
    <row r="23" spans="1:6" ht="22" customHeight="1" x14ac:dyDescent="0.2">
      <c r="A23" s="19">
        <v>20</v>
      </c>
      <c r="B23" s="10" t="s">
        <v>112</v>
      </c>
      <c r="C23" s="17" t="s">
        <v>2</v>
      </c>
      <c r="D23" s="17" t="s">
        <v>3</v>
      </c>
      <c r="E23" s="10" t="s">
        <v>44</v>
      </c>
      <c r="F23" s="24">
        <f>VLOOKUP(B23,'Song Tracker'!$A$3:$F$49,6,FALSE)</f>
        <v>2.430555555555556E-3</v>
      </c>
    </row>
    <row r="24" spans="1:6" ht="22" customHeight="1" x14ac:dyDescent="0.2">
      <c r="A24" s="19">
        <v>22</v>
      </c>
      <c r="B24" s="10" t="s">
        <v>53</v>
      </c>
      <c r="C24" s="17" t="s">
        <v>2</v>
      </c>
      <c r="D24" s="17" t="s">
        <v>3</v>
      </c>
      <c r="E24" s="10" t="s">
        <v>55</v>
      </c>
      <c r="F24" s="24">
        <v>1.747685185185185E-3</v>
      </c>
    </row>
    <row r="25" spans="1:6" ht="22" customHeight="1" x14ac:dyDescent="0.2">
      <c r="A25" s="19">
        <v>23</v>
      </c>
      <c r="B25" s="10" t="s">
        <v>100</v>
      </c>
      <c r="C25" s="17" t="s">
        <v>2</v>
      </c>
      <c r="D25" s="17" t="s">
        <v>3</v>
      </c>
      <c r="E25" s="10" t="s">
        <v>44</v>
      </c>
      <c r="F25" s="24">
        <v>2.0486111111111109E-3</v>
      </c>
    </row>
    <row r="26" spans="1:6" ht="22" customHeight="1" x14ac:dyDescent="0.2">
      <c r="A26" s="19">
        <v>24</v>
      </c>
      <c r="B26" s="10" t="s">
        <v>85</v>
      </c>
      <c r="C26" s="17" t="s">
        <v>2</v>
      </c>
      <c r="D26" s="17" t="s">
        <v>3</v>
      </c>
      <c r="E26" s="10" t="s">
        <v>35</v>
      </c>
      <c r="F26" s="24">
        <v>2.5810185185185189E-3</v>
      </c>
    </row>
    <row r="27" spans="1:6" ht="22" customHeight="1" x14ac:dyDescent="0.2">
      <c r="A27" s="19">
        <v>25</v>
      </c>
      <c r="B27" s="10" t="s">
        <v>111</v>
      </c>
      <c r="C27" s="17" t="s">
        <v>2</v>
      </c>
      <c r="D27" s="17" t="s">
        <v>3</v>
      </c>
      <c r="E27" s="10" t="s">
        <v>40</v>
      </c>
      <c r="F27" s="24">
        <v>5.9606481481481481E-3</v>
      </c>
    </row>
    <row r="28" spans="1:6" ht="22" customHeight="1" x14ac:dyDescent="0.2">
      <c r="A28" s="19">
        <v>26</v>
      </c>
      <c r="B28" s="10" t="s">
        <v>81</v>
      </c>
      <c r="C28" s="17" t="s">
        <v>2</v>
      </c>
      <c r="D28" s="17" t="s">
        <v>3</v>
      </c>
      <c r="E28" s="10" t="s">
        <v>35</v>
      </c>
      <c r="F28" s="24">
        <v>4.6874999999999998E-3</v>
      </c>
    </row>
    <row r="29" spans="1:6" ht="22" customHeight="1" x14ac:dyDescent="0.2">
      <c r="A29" s="19">
        <v>27</v>
      </c>
      <c r="B29" s="10" t="s">
        <v>126</v>
      </c>
      <c r="C29" s="17" t="s">
        <v>2</v>
      </c>
      <c r="D29" s="17" t="s">
        <v>3</v>
      </c>
      <c r="E29" s="10" t="s">
        <v>44</v>
      </c>
      <c r="F29" s="24">
        <f>VLOOKUP(B29,'Song Tracker'!$A$3:$F$49,6,FALSE)</f>
        <v>3.472222222222222E-3</v>
      </c>
    </row>
    <row r="30" spans="1:6" x14ac:dyDescent="0.2">
      <c r="A30" s="11"/>
      <c r="B30" s="9"/>
      <c r="C30" s="12"/>
      <c r="D30" s="12"/>
      <c r="E30" s="9"/>
      <c r="F30" s="25"/>
    </row>
    <row r="31" spans="1:6" ht="22" customHeight="1" thickBot="1" x14ac:dyDescent="0.25">
      <c r="A31" s="13"/>
      <c r="B31" s="14" t="s">
        <v>170</v>
      </c>
      <c r="C31" s="15"/>
      <c r="D31" s="15"/>
      <c r="E31" s="14"/>
      <c r="F31" s="16">
        <f>SUM(F4:F30)</f>
        <v>8.1550925925925916E-2</v>
      </c>
    </row>
  </sheetData>
  <mergeCells count="2">
    <mergeCell ref="A2:F2"/>
    <mergeCell ref="A1:F1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C15" r:id="rId22" xr:uid="{00000000-0004-0000-0F00-000015000000}"/>
    <hyperlink ref="D15" r:id="rId23" xr:uid="{00000000-0004-0000-0F00-000016000000}"/>
    <hyperlink ref="C16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D18" r:id="rId28" xr:uid="{00000000-0004-0000-0F00-00001B000000}"/>
    <hyperlink ref="C19" r:id="rId29" xr:uid="{00000000-0004-0000-0F00-00001C000000}"/>
    <hyperlink ref="D19" r:id="rId30" xr:uid="{00000000-0004-0000-0F00-00001D000000}"/>
    <hyperlink ref="C20" r:id="rId31" xr:uid="{00000000-0004-0000-0F00-00001E000000}"/>
    <hyperlink ref="D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  <hyperlink ref="C24" r:id="rId39" xr:uid="{00000000-0004-0000-0F00-000026000000}"/>
    <hyperlink ref="D24" r:id="rId40" xr:uid="{00000000-0004-0000-0F00-000027000000}"/>
    <hyperlink ref="C25" r:id="rId41" xr:uid="{00000000-0004-0000-0F00-000028000000}"/>
    <hyperlink ref="D25" r:id="rId42" xr:uid="{00000000-0004-0000-0F00-000029000000}"/>
    <hyperlink ref="C26" r:id="rId43" xr:uid="{00000000-0004-0000-0F00-00002A000000}"/>
    <hyperlink ref="D26" r:id="rId44" xr:uid="{00000000-0004-0000-0F00-00002B000000}"/>
    <hyperlink ref="C27" r:id="rId45" xr:uid="{00000000-0004-0000-0F00-00002C000000}"/>
    <hyperlink ref="D27" r:id="rId46" xr:uid="{00000000-0004-0000-0F00-00002D000000}"/>
    <hyperlink ref="C28" r:id="rId47" xr:uid="{00000000-0004-0000-0F00-00002E000000}"/>
    <hyperlink ref="D28" r:id="rId48" xr:uid="{00000000-0004-0000-0F00-00002F000000}"/>
    <hyperlink ref="C29" r:id="rId49" xr:uid="{00000000-0004-0000-0F00-000030000000}"/>
    <hyperlink ref="D29" r:id="rId50" xr:uid="{00000000-0004-0000-0F00-000031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187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137</v>
      </c>
      <c r="C5" s="17" t="s">
        <v>2</v>
      </c>
      <c r="D5" s="17" t="s">
        <v>3</v>
      </c>
      <c r="E5" s="10" t="s">
        <v>40</v>
      </c>
      <c r="F5" s="24">
        <v>2.0949074074074069E-3</v>
      </c>
    </row>
    <row r="6" spans="1:6" ht="22" customHeight="1" x14ac:dyDescent="0.2">
      <c r="A6" s="19">
        <v>3</v>
      </c>
      <c r="B6" s="10" t="s">
        <v>102</v>
      </c>
      <c r="C6" s="17" t="s">
        <v>2</v>
      </c>
      <c r="D6" s="17" t="s">
        <v>3</v>
      </c>
      <c r="E6" s="10" t="s">
        <v>35</v>
      </c>
      <c r="F6" s="24">
        <v>3.5995370370370369E-3</v>
      </c>
    </row>
    <row r="7" spans="1:6" ht="22" customHeight="1" x14ac:dyDescent="0.2">
      <c r="A7" s="19">
        <v>4</v>
      </c>
      <c r="B7" s="10" t="s">
        <v>72</v>
      </c>
      <c r="C7" s="17" t="s">
        <v>2</v>
      </c>
      <c r="D7" s="17" t="s">
        <v>3</v>
      </c>
      <c r="E7" s="10" t="s">
        <v>44</v>
      </c>
      <c r="F7" s="24">
        <v>2.488425925925926E-3</v>
      </c>
    </row>
    <row r="8" spans="1:6" ht="22" customHeight="1" x14ac:dyDescent="0.2">
      <c r="A8" s="19">
        <v>5</v>
      </c>
      <c r="B8" s="10" t="s">
        <v>93</v>
      </c>
      <c r="C8" s="17" t="s">
        <v>2</v>
      </c>
      <c r="D8" s="17" t="s">
        <v>3</v>
      </c>
      <c r="E8" s="10" t="s">
        <v>55</v>
      </c>
      <c r="F8" s="24">
        <v>1.9791666666666668E-3</v>
      </c>
    </row>
    <row r="9" spans="1:6" ht="22" customHeight="1" x14ac:dyDescent="0.2">
      <c r="A9" s="19">
        <v>6</v>
      </c>
      <c r="B9" s="10" t="s">
        <v>70</v>
      </c>
      <c r="C9" s="17" t="s">
        <v>2</v>
      </c>
      <c r="D9" s="17" t="s">
        <v>3</v>
      </c>
      <c r="E9" s="10" t="s">
        <v>40</v>
      </c>
      <c r="F9" s="24">
        <v>2.7893518518518519E-3</v>
      </c>
    </row>
    <row r="10" spans="1:6" ht="22" customHeight="1" x14ac:dyDescent="0.2">
      <c r="A10" s="19">
        <v>7</v>
      </c>
      <c r="B10" s="10" t="s">
        <v>46</v>
      </c>
      <c r="C10" s="17" t="s">
        <v>2</v>
      </c>
      <c r="D10" s="17" t="s">
        <v>3</v>
      </c>
      <c r="E10" s="10" t="s">
        <v>35</v>
      </c>
      <c r="F10" s="24">
        <v>2.5810185185185189E-3</v>
      </c>
    </row>
    <row r="11" spans="1:6" ht="22" customHeight="1" x14ac:dyDescent="0.2">
      <c r="A11" s="19">
        <v>8</v>
      </c>
      <c r="B11" s="10" t="s">
        <v>42</v>
      </c>
      <c r="C11" s="17" t="s">
        <v>2</v>
      </c>
      <c r="D11" s="17" t="s">
        <v>3</v>
      </c>
      <c r="E11" s="10" t="s">
        <v>44</v>
      </c>
      <c r="F11" s="24">
        <f>VLOOKUP(B11,'Song Tracker'!$A$3:$F$49,6,FALSE)</f>
        <v>3.9583333333333337E-3</v>
      </c>
    </row>
    <row r="12" spans="1:6" ht="22" customHeight="1" x14ac:dyDescent="0.2">
      <c r="A12" s="19">
        <v>9</v>
      </c>
      <c r="B12" s="10" t="s">
        <v>59</v>
      </c>
      <c r="C12" s="17" t="s">
        <v>2</v>
      </c>
      <c r="D12" s="17" t="s">
        <v>3</v>
      </c>
      <c r="E12" s="10" t="s">
        <v>40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89</v>
      </c>
      <c r="C13" s="17" t="s">
        <v>2</v>
      </c>
      <c r="D13" s="18"/>
      <c r="E13" s="10" t="s">
        <v>44</v>
      </c>
      <c r="F13" s="24">
        <v>3.8541666666666672E-3</v>
      </c>
    </row>
    <row r="14" spans="1:6" ht="22" customHeight="1" x14ac:dyDescent="0.2">
      <c r="A14" s="19">
        <v>11</v>
      </c>
      <c r="B14" s="10" t="s">
        <v>105</v>
      </c>
      <c r="C14" s="17" t="s">
        <v>2</v>
      </c>
      <c r="D14" s="17" t="s">
        <v>3</v>
      </c>
      <c r="E14" s="10" t="s">
        <v>40</v>
      </c>
      <c r="F14" s="24">
        <v>3.2291666666666671E-3</v>
      </c>
    </row>
    <row r="15" spans="1:6" ht="22" customHeight="1" x14ac:dyDescent="0.2">
      <c r="A15" s="19">
        <v>1</v>
      </c>
      <c r="B15" s="10" t="s">
        <v>118</v>
      </c>
      <c r="C15" s="17" t="s">
        <v>2</v>
      </c>
      <c r="D15" s="17" t="s">
        <v>3</v>
      </c>
      <c r="E15" s="10" t="s">
        <v>120</v>
      </c>
      <c r="F15" s="24">
        <f>VLOOKUP(B15,'Song Tracker'!$A$3:$F$49,6,FALSE)</f>
        <v>3.472222222222222E-3</v>
      </c>
    </row>
    <row r="16" spans="1:6" ht="22" customHeight="1" x14ac:dyDescent="0.2">
      <c r="A16" s="19">
        <v>2</v>
      </c>
      <c r="B16" s="10" t="s">
        <v>87</v>
      </c>
      <c r="C16" s="18"/>
      <c r="D16" s="17" t="s">
        <v>3</v>
      </c>
      <c r="E16" s="10" t="s">
        <v>35</v>
      </c>
      <c r="F16" s="24">
        <f>VLOOKUP(B16,'Song Tracker'!$A$3:$F$49,6,FALSE)</f>
        <v>2.604166666666667E-3</v>
      </c>
    </row>
    <row r="17" spans="1:6" ht="22" customHeight="1" x14ac:dyDescent="0.2">
      <c r="A17" s="19">
        <v>3</v>
      </c>
      <c r="B17" s="10" t="s">
        <v>109</v>
      </c>
      <c r="C17" s="17" t="s">
        <v>2</v>
      </c>
      <c r="D17" s="17" t="s">
        <v>3</v>
      </c>
      <c r="E17" s="10" t="s">
        <v>40</v>
      </c>
      <c r="F17" s="24">
        <v>4.1319444444444442E-3</v>
      </c>
    </row>
    <row r="18" spans="1:6" ht="22" customHeight="1" x14ac:dyDescent="0.2">
      <c r="A18" s="19">
        <v>4</v>
      </c>
      <c r="B18" s="10" t="s">
        <v>112</v>
      </c>
      <c r="C18" s="17" t="s">
        <v>2</v>
      </c>
      <c r="D18" s="17" t="s">
        <v>3</v>
      </c>
      <c r="E18" s="10" t="s">
        <v>44</v>
      </c>
      <c r="F18" s="24">
        <f>VLOOKUP(B18,'Song Tracker'!$A$3:$F$49,6,FALSE)</f>
        <v>2.430555555555556E-3</v>
      </c>
    </row>
    <row r="19" spans="1:6" ht="22" customHeight="1" x14ac:dyDescent="0.2">
      <c r="A19" s="19">
        <v>5</v>
      </c>
      <c r="B19" s="10" t="s">
        <v>53</v>
      </c>
      <c r="C19" s="17" t="s">
        <v>2</v>
      </c>
      <c r="D19" s="17" t="s">
        <v>3</v>
      </c>
      <c r="E19" s="10" t="s">
        <v>55</v>
      </c>
      <c r="F19" s="24">
        <v>1.747685185185185E-3</v>
      </c>
    </row>
    <row r="20" spans="1:6" ht="22" customHeight="1" x14ac:dyDescent="0.2">
      <c r="A20" s="19">
        <v>6</v>
      </c>
      <c r="B20" s="10" t="s">
        <v>100</v>
      </c>
      <c r="C20" s="17" t="s">
        <v>2</v>
      </c>
      <c r="D20" s="17" t="s">
        <v>3</v>
      </c>
      <c r="E20" s="10" t="s">
        <v>44</v>
      </c>
      <c r="F20" s="24">
        <v>2.0486111111111109E-3</v>
      </c>
    </row>
    <row r="21" spans="1:6" ht="22" customHeight="1" x14ac:dyDescent="0.2">
      <c r="A21" s="19">
        <v>7</v>
      </c>
      <c r="B21" s="10" t="s">
        <v>85</v>
      </c>
      <c r="C21" s="17" t="s">
        <v>2</v>
      </c>
      <c r="D21" s="17" t="s">
        <v>3</v>
      </c>
      <c r="E21" s="10" t="s">
        <v>35</v>
      </c>
      <c r="F21" s="24">
        <v>2.5810185185185189E-3</v>
      </c>
    </row>
    <row r="22" spans="1:6" ht="22" customHeight="1" x14ac:dyDescent="0.2">
      <c r="A22" s="19">
        <v>8</v>
      </c>
      <c r="B22" s="10" t="s">
        <v>131</v>
      </c>
      <c r="C22" s="17" t="s">
        <v>2</v>
      </c>
      <c r="D22" s="17" t="s">
        <v>3</v>
      </c>
      <c r="E22" s="10" t="s">
        <v>44</v>
      </c>
      <c r="F22" s="24">
        <v>3.3217592592592591E-3</v>
      </c>
    </row>
    <row r="23" spans="1:6" ht="22" customHeight="1" x14ac:dyDescent="0.2">
      <c r="A23" s="19">
        <v>9</v>
      </c>
      <c r="B23" s="10" t="s">
        <v>111</v>
      </c>
      <c r="C23" s="17" t="s">
        <v>2</v>
      </c>
      <c r="D23" s="17" t="s">
        <v>3</v>
      </c>
      <c r="E23" s="10" t="s">
        <v>40</v>
      </c>
      <c r="F23" s="24">
        <v>5.9606481481481481E-3</v>
      </c>
    </row>
    <row r="24" spans="1:6" ht="22" customHeight="1" x14ac:dyDescent="0.2">
      <c r="A24" s="19">
        <v>10</v>
      </c>
      <c r="B24" s="10" t="s">
        <v>81</v>
      </c>
      <c r="C24" s="17" t="s">
        <v>2</v>
      </c>
      <c r="D24" s="17" t="s">
        <v>3</v>
      </c>
      <c r="E24" s="10" t="s">
        <v>35</v>
      </c>
      <c r="F24" s="24">
        <v>4.6874999999999998E-3</v>
      </c>
    </row>
    <row r="25" spans="1:6" x14ac:dyDescent="0.2">
      <c r="A25" s="11"/>
      <c r="B25" s="9"/>
      <c r="C25" s="12"/>
      <c r="D25" s="12"/>
      <c r="E25" s="9"/>
      <c r="F25" s="25"/>
    </row>
    <row r="26" spans="1:6" ht="22" customHeight="1" thickBot="1" x14ac:dyDescent="0.25">
      <c r="A26" s="13"/>
      <c r="B26" s="14" t="s">
        <v>170</v>
      </c>
      <c r="C26" s="15"/>
      <c r="D26" s="15"/>
      <c r="E26" s="14"/>
      <c r="F26" s="16">
        <f>SUM(F4:F25)</f>
        <v>6.7303240740740733E-2</v>
      </c>
    </row>
  </sheetData>
  <mergeCells count="2">
    <mergeCell ref="A2:F2"/>
    <mergeCell ref="A1:F1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C11" r:id="rId15" xr:uid="{00000000-0004-0000-1000-00000E000000}"/>
    <hyperlink ref="D11" r:id="rId16" xr:uid="{00000000-0004-0000-1000-00000F000000}"/>
    <hyperlink ref="C12" r:id="rId17" xr:uid="{00000000-0004-0000-1000-000010000000}"/>
    <hyperlink ref="D12" r:id="rId18" xr:uid="{00000000-0004-0000-1000-000011000000}"/>
    <hyperlink ref="C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D16" r:id="rId24" xr:uid="{00000000-0004-0000-1000-000017000000}"/>
    <hyperlink ref="C17" r:id="rId25" xr:uid="{00000000-0004-0000-1000-000018000000}"/>
    <hyperlink ref="D17" r:id="rId26" xr:uid="{00000000-0004-0000-1000-000019000000}"/>
    <hyperlink ref="C18" r:id="rId27" xr:uid="{00000000-0004-0000-1000-00001A000000}"/>
    <hyperlink ref="D18" r:id="rId28" xr:uid="{00000000-0004-0000-1000-00001B000000}"/>
    <hyperlink ref="C19" r:id="rId29" xr:uid="{00000000-0004-0000-1000-00001C000000}"/>
    <hyperlink ref="D19" r:id="rId30" xr:uid="{00000000-0004-0000-1000-00001D000000}"/>
    <hyperlink ref="C20" r:id="rId31" xr:uid="{00000000-0004-0000-1000-00001E000000}"/>
    <hyperlink ref="D20" r:id="rId32" xr:uid="{00000000-0004-0000-1000-00001F000000}"/>
    <hyperlink ref="C21" r:id="rId33" xr:uid="{00000000-0004-0000-1000-000020000000}"/>
    <hyperlink ref="D21" r:id="rId34" xr:uid="{00000000-0004-0000-1000-000021000000}"/>
    <hyperlink ref="C22" r:id="rId35" xr:uid="{00000000-0004-0000-1000-000022000000}"/>
    <hyperlink ref="D22" r:id="rId36" xr:uid="{00000000-0004-0000-1000-000023000000}"/>
    <hyperlink ref="C23" r:id="rId37" xr:uid="{00000000-0004-0000-1000-000024000000}"/>
    <hyperlink ref="D23" r:id="rId38" xr:uid="{00000000-0004-0000-1000-000025000000}"/>
    <hyperlink ref="C24" r:id="rId39" xr:uid="{00000000-0004-0000-1000-000026000000}"/>
    <hyperlink ref="D24" r:id="rId40" xr:uid="{00000000-0004-0000-1000-000027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188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85</v>
      </c>
      <c r="C5" s="17" t="s">
        <v>2</v>
      </c>
      <c r="D5" s="17" t="s">
        <v>3</v>
      </c>
      <c r="E5" s="10" t="s">
        <v>35</v>
      </c>
      <c r="F5" s="24">
        <v>2.5810185185185189E-3</v>
      </c>
    </row>
    <row r="6" spans="1:6" ht="22" customHeight="1" x14ac:dyDescent="0.2">
      <c r="A6" s="19">
        <v>3</v>
      </c>
      <c r="B6" s="10" t="s">
        <v>93</v>
      </c>
      <c r="C6" s="17" t="s">
        <v>2</v>
      </c>
      <c r="D6" s="17" t="s">
        <v>3</v>
      </c>
      <c r="E6" s="10" t="s">
        <v>55</v>
      </c>
      <c r="F6" s="24">
        <v>1.9791666666666668E-3</v>
      </c>
    </row>
    <row r="7" spans="1:6" ht="22" customHeight="1" x14ac:dyDescent="0.2">
      <c r="A7" s="19">
        <v>4</v>
      </c>
      <c r="B7" s="10" t="s">
        <v>70</v>
      </c>
      <c r="C7" s="17" t="s">
        <v>2</v>
      </c>
      <c r="D7" s="17" t="s">
        <v>3</v>
      </c>
      <c r="E7" s="10" t="s">
        <v>40</v>
      </c>
      <c r="F7" s="24">
        <v>2.7893518518518519E-3</v>
      </c>
    </row>
    <row r="8" spans="1:6" ht="22" customHeight="1" x14ac:dyDescent="0.2">
      <c r="A8" s="19">
        <v>5</v>
      </c>
      <c r="B8" s="10" t="s">
        <v>72</v>
      </c>
      <c r="C8" s="17" t="s">
        <v>2</v>
      </c>
      <c r="D8" s="17" t="s">
        <v>3</v>
      </c>
      <c r="E8" s="10" t="s">
        <v>44</v>
      </c>
      <c r="F8" s="24">
        <v>2.488425925925926E-3</v>
      </c>
    </row>
    <row r="9" spans="1:6" ht="22" customHeight="1" x14ac:dyDescent="0.2">
      <c r="A9" s="19">
        <v>6</v>
      </c>
      <c r="B9" s="10" t="s">
        <v>102</v>
      </c>
      <c r="C9" s="17" t="s">
        <v>2</v>
      </c>
      <c r="D9" s="17" t="s">
        <v>3</v>
      </c>
      <c r="E9" s="10" t="s">
        <v>35</v>
      </c>
      <c r="F9" s="24">
        <v>3.5995370370370369E-3</v>
      </c>
    </row>
    <row r="10" spans="1:6" ht="22" customHeight="1" x14ac:dyDescent="0.2">
      <c r="A10" s="19">
        <v>7</v>
      </c>
      <c r="B10" s="10" t="s">
        <v>100</v>
      </c>
      <c r="C10" s="17" t="s">
        <v>2</v>
      </c>
      <c r="D10" s="17" t="s">
        <v>3</v>
      </c>
      <c r="E10" s="10" t="s">
        <v>44</v>
      </c>
      <c r="F10" s="24">
        <v>2.0486111111111109E-3</v>
      </c>
    </row>
    <row r="11" spans="1:6" ht="22" customHeight="1" x14ac:dyDescent="0.2">
      <c r="A11" s="19">
        <v>8</v>
      </c>
      <c r="B11" s="10" t="s">
        <v>105</v>
      </c>
      <c r="C11" s="17" t="s">
        <v>2</v>
      </c>
      <c r="D11" s="17" t="s">
        <v>3</v>
      </c>
      <c r="E11" s="10" t="s">
        <v>40</v>
      </c>
      <c r="F11" s="24">
        <v>3.2291666666666671E-3</v>
      </c>
    </row>
    <row r="12" spans="1:6" ht="22" customHeight="1" x14ac:dyDescent="0.2">
      <c r="A12" s="19">
        <v>9</v>
      </c>
      <c r="B12" s="10" t="s">
        <v>59</v>
      </c>
      <c r="C12" s="17" t="s">
        <v>2</v>
      </c>
      <c r="D12" s="17" t="s">
        <v>3</v>
      </c>
      <c r="E12" s="10" t="s">
        <v>40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131</v>
      </c>
      <c r="C13" s="17" t="s">
        <v>2</v>
      </c>
      <c r="D13" s="17" t="s">
        <v>3</v>
      </c>
      <c r="E13" s="10" t="s">
        <v>44</v>
      </c>
      <c r="F13" s="24">
        <v>3.3217592592592591E-3</v>
      </c>
    </row>
    <row r="14" spans="1:6" ht="22" customHeight="1" x14ac:dyDescent="0.2">
      <c r="A14" s="19">
        <v>11</v>
      </c>
      <c r="B14" s="10" t="s">
        <v>81</v>
      </c>
      <c r="C14" s="17" t="s">
        <v>2</v>
      </c>
      <c r="D14" s="17" t="s">
        <v>3</v>
      </c>
      <c r="E14" s="10" t="s">
        <v>35</v>
      </c>
      <c r="F14" s="24">
        <v>4.6874999999999998E-3</v>
      </c>
    </row>
    <row r="15" spans="1:6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170</v>
      </c>
      <c r="C16" s="15"/>
      <c r="D16" s="15"/>
      <c r="E16" s="14"/>
      <c r="F16" s="16">
        <f>SUM(F4:F15)</f>
        <v>3.4467592592592598E-2</v>
      </c>
    </row>
  </sheetData>
  <mergeCells count="2">
    <mergeCell ref="A2:F2"/>
    <mergeCell ref="A1:F1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D10" r:id="rId14" xr:uid="{00000000-0004-0000-1100-00000D000000}"/>
    <hyperlink ref="C11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  <hyperlink ref="C14" r:id="rId21" xr:uid="{00000000-0004-0000-1100-000014000000}"/>
    <hyperlink ref="D14" r:id="rId22" xr:uid="{00000000-0004-0000-1100-000015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189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137</v>
      </c>
      <c r="C5" s="17" t="s">
        <v>2</v>
      </c>
      <c r="D5" s="17" t="s">
        <v>3</v>
      </c>
      <c r="E5" s="10" t="s">
        <v>40</v>
      </c>
      <c r="F5" s="24">
        <v>2.0949074074074069E-3</v>
      </c>
    </row>
    <row r="6" spans="1:6" ht="22" customHeight="1" x14ac:dyDescent="0.2">
      <c r="A6" s="19">
        <v>3</v>
      </c>
      <c r="B6" s="10" t="s">
        <v>102</v>
      </c>
      <c r="C6" s="17" t="s">
        <v>2</v>
      </c>
      <c r="D6" s="17" t="s">
        <v>3</v>
      </c>
      <c r="E6" s="10" t="s">
        <v>35</v>
      </c>
      <c r="F6" s="24">
        <v>3.5995370370370369E-3</v>
      </c>
    </row>
    <row r="7" spans="1:6" ht="22" customHeight="1" x14ac:dyDescent="0.2">
      <c r="A7" s="19">
        <v>4</v>
      </c>
      <c r="B7" s="10" t="s">
        <v>72</v>
      </c>
      <c r="C7" s="17" t="s">
        <v>2</v>
      </c>
      <c r="D7" s="17" t="s">
        <v>3</v>
      </c>
      <c r="E7" s="10" t="s">
        <v>44</v>
      </c>
      <c r="F7" s="24">
        <v>2.488425925925926E-3</v>
      </c>
    </row>
    <row r="8" spans="1:6" ht="22" customHeight="1" x14ac:dyDescent="0.2">
      <c r="A8" s="19">
        <v>5</v>
      </c>
      <c r="B8" s="10" t="s">
        <v>93</v>
      </c>
      <c r="C8" s="17" t="s">
        <v>2</v>
      </c>
      <c r="D8" s="17" t="s">
        <v>3</v>
      </c>
      <c r="E8" s="10" t="s">
        <v>55</v>
      </c>
      <c r="F8" s="24">
        <v>1.9791666666666668E-3</v>
      </c>
    </row>
    <row r="9" spans="1:6" ht="22" customHeight="1" x14ac:dyDescent="0.2">
      <c r="A9" s="19">
        <v>6</v>
      </c>
      <c r="B9" s="10" t="s">
        <v>70</v>
      </c>
      <c r="C9" s="17" t="s">
        <v>2</v>
      </c>
      <c r="D9" s="17" t="s">
        <v>3</v>
      </c>
      <c r="E9" s="10" t="s">
        <v>40</v>
      </c>
      <c r="F9" s="24">
        <v>2.7893518518518519E-3</v>
      </c>
    </row>
    <row r="10" spans="1:6" ht="22" customHeight="1" x14ac:dyDescent="0.2">
      <c r="A10" s="19">
        <v>7</v>
      </c>
      <c r="B10" s="10" t="s">
        <v>46</v>
      </c>
      <c r="C10" s="17" t="s">
        <v>2</v>
      </c>
      <c r="D10" s="17" t="s">
        <v>3</v>
      </c>
      <c r="E10" s="10" t="s">
        <v>35</v>
      </c>
      <c r="F10" s="24">
        <v>2.5810185185185189E-3</v>
      </c>
    </row>
    <row r="11" spans="1:6" ht="22" customHeight="1" x14ac:dyDescent="0.2">
      <c r="A11" s="19">
        <v>8</v>
      </c>
      <c r="B11" s="10" t="s">
        <v>100</v>
      </c>
      <c r="C11" s="17" t="s">
        <v>2</v>
      </c>
      <c r="D11" s="17" t="s">
        <v>3</v>
      </c>
      <c r="E11" s="10" t="s">
        <v>44</v>
      </c>
      <c r="F11" s="24">
        <v>2.0486111111111109E-3</v>
      </c>
    </row>
    <row r="12" spans="1:6" ht="22" customHeight="1" x14ac:dyDescent="0.2">
      <c r="A12" s="19">
        <v>9</v>
      </c>
      <c r="B12" s="10" t="s">
        <v>59</v>
      </c>
      <c r="C12" s="17" t="s">
        <v>2</v>
      </c>
      <c r="D12" s="17" t="s">
        <v>3</v>
      </c>
      <c r="E12" s="10" t="s">
        <v>40</v>
      </c>
      <c r="F12" s="24">
        <f>VLOOKUP(B12,'Song Tracker'!$A$3:$F$49,6,FALSE)</f>
        <v>5.5555555555555558E-3</v>
      </c>
    </row>
    <row r="13" spans="1:6" ht="22" customHeight="1" x14ac:dyDescent="0.2">
      <c r="A13" s="19">
        <v>10</v>
      </c>
      <c r="B13" s="10" t="s">
        <v>89</v>
      </c>
      <c r="C13" s="17" t="s">
        <v>2</v>
      </c>
      <c r="D13" s="18"/>
      <c r="E13" s="10" t="s">
        <v>44</v>
      </c>
      <c r="F13" s="24">
        <v>3.8541666666666672E-3</v>
      </c>
    </row>
    <row r="14" spans="1:6" ht="22" customHeight="1" x14ac:dyDescent="0.2">
      <c r="A14" s="19">
        <v>11</v>
      </c>
      <c r="B14" s="10" t="s">
        <v>53</v>
      </c>
      <c r="C14" s="17" t="s">
        <v>2</v>
      </c>
      <c r="D14" s="17" t="s">
        <v>3</v>
      </c>
      <c r="E14" s="10" t="s">
        <v>55</v>
      </c>
      <c r="F14" s="24">
        <v>1.747685185185185E-3</v>
      </c>
    </row>
    <row r="15" spans="1:6" ht="22" customHeight="1" x14ac:dyDescent="0.2">
      <c r="A15" s="19">
        <v>12</v>
      </c>
      <c r="B15" s="10" t="s">
        <v>109</v>
      </c>
      <c r="C15" s="17" t="s">
        <v>2</v>
      </c>
      <c r="D15" s="17" t="s">
        <v>3</v>
      </c>
      <c r="E15" s="10" t="s">
        <v>40</v>
      </c>
      <c r="F15" s="24">
        <v>4.1319444444444442E-3</v>
      </c>
    </row>
    <row r="16" spans="1:6" ht="22" customHeight="1" x14ac:dyDescent="0.2">
      <c r="A16" s="19">
        <v>13</v>
      </c>
      <c r="B16" s="10" t="s">
        <v>85</v>
      </c>
      <c r="C16" s="17" t="s">
        <v>2</v>
      </c>
      <c r="D16" s="17" t="s">
        <v>3</v>
      </c>
      <c r="E16" s="10" t="s">
        <v>35</v>
      </c>
      <c r="F16" s="24">
        <v>2.5810185185185189E-3</v>
      </c>
    </row>
    <row r="17" spans="1:6" ht="22" customHeight="1" x14ac:dyDescent="0.2">
      <c r="A17" s="19">
        <v>14</v>
      </c>
      <c r="B17" s="10" t="s">
        <v>131</v>
      </c>
      <c r="C17" s="17" t="s">
        <v>2</v>
      </c>
      <c r="D17" s="17" t="s">
        <v>3</v>
      </c>
      <c r="E17" s="10" t="s">
        <v>44</v>
      </c>
      <c r="F17" s="24">
        <v>3.3217592592592591E-3</v>
      </c>
    </row>
    <row r="18" spans="1:6" ht="22" customHeight="1" x14ac:dyDescent="0.2">
      <c r="A18" s="19">
        <v>15</v>
      </c>
      <c r="B18" s="10" t="s">
        <v>105</v>
      </c>
      <c r="C18" s="17" t="s">
        <v>2</v>
      </c>
      <c r="D18" s="17" t="s">
        <v>3</v>
      </c>
      <c r="E18" s="10" t="s">
        <v>40</v>
      </c>
      <c r="F18" s="24">
        <v>3.2291666666666671E-3</v>
      </c>
    </row>
    <row r="19" spans="1:6" ht="22" customHeight="1" x14ac:dyDescent="0.2">
      <c r="A19" s="19">
        <v>16</v>
      </c>
      <c r="B19" s="10" t="s">
        <v>111</v>
      </c>
      <c r="C19" s="17" t="s">
        <v>2</v>
      </c>
      <c r="D19" s="17" t="s">
        <v>3</v>
      </c>
      <c r="E19" s="10" t="s">
        <v>40</v>
      </c>
      <c r="F19" s="24">
        <v>5.9606481481481481E-3</v>
      </c>
    </row>
    <row r="20" spans="1:6" x14ac:dyDescent="0.2">
      <c r="A20" s="11"/>
      <c r="B20" s="9"/>
      <c r="C20" s="12"/>
      <c r="D20" s="12"/>
      <c r="E20" s="9"/>
      <c r="F20" s="25"/>
    </row>
    <row r="21" spans="1:6" ht="22" customHeight="1" thickBot="1" x14ac:dyDescent="0.25">
      <c r="A21" s="13"/>
      <c r="B21" s="14" t="s">
        <v>170</v>
      </c>
      <c r="C21" s="15"/>
      <c r="D21" s="15"/>
      <c r="E21" s="14"/>
      <c r="F21" s="16">
        <f>SUM(F4:F20)</f>
        <v>5.0150462962962959E-2</v>
      </c>
    </row>
  </sheetData>
  <mergeCells count="2">
    <mergeCell ref="A2:F2"/>
    <mergeCell ref="A1:F1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C14" r:id="rId20" xr:uid="{00000000-0004-0000-1200-000013000000}"/>
    <hyperlink ref="D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C18" r:id="rId28" xr:uid="{00000000-0004-0000-1200-00001B000000}"/>
    <hyperlink ref="D18" r:id="rId29" xr:uid="{00000000-0004-0000-1200-00001C000000}"/>
    <hyperlink ref="C19" r:id="rId30" xr:uid="{00000000-0004-0000-1200-00001D000000}"/>
    <hyperlink ref="D19" r:id="rId31" xr:uid="{00000000-0004-0000-1200-00001E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190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137</v>
      </c>
      <c r="C5" s="17" t="s">
        <v>2</v>
      </c>
      <c r="D5" s="17" t="s">
        <v>3</v>
      </c>
      <c r="E5" s="10" t="s">
        <v>40</v>
      </c>
      <c r="F5" s="24">
        <v>2.0949074074074069E-3</v>
      </c>
    </row>
    <row r="6" spans="1:6" ht="22" customHeight="1" x14ac:dyDescent="0.2">
      <c r="A6" s="19">
        <v>3</v>
      </c>
      <c r="B6" s="10" t="s">
        <v>85</v>
      </c>
      <c r="C6" s="17" t="s">
        <v>2</v>
      </c>
      <c r="D6" s="17" t="s">
        <v>3</v>
      </c>
      <c r="E6" s="10" t="s">
        <v>35</v>
      </c>
      <c r="F6" s="24">
        <v>2.5810185185185189E-3</v>
      </c>
    </row>
    <row r="7" spans="1:6" ht="22" customHeight="1" x14ac:dyDescent="0.2">
      <c r="A7" s="19">
        <v>4</v>
      </c>
      <c r="B7" s="10" t="s">
        <v>131</v>
      </c>
      <c r="C7" s="17" t="s">
        <v>2</v>
      </c>
      <c r="D7" s="17" t="s">
        <v>3</v>
      </c>
      <c r="E7" s="10" t="s">
        <v>44</v>
      </c>
      <c r="F7" s="24">
        <v>3.3217592592592591E-3</v>
      </c>
    </row>
    <row r="8" spans="1:6" ht="22" customHeight="1" x14ac:dyDescent="0.2">
      <c r="A8" s="19">
        <v>5</v>
      </c>
      <c r="B8" s="10" t="s">
        <v>59</v>
      </c>
      <c r="C8" s="17" t="s">
        <v>2</v>
      </c>
      <c r="D8" s="17" t="s">
        <v>3</v>
      </c>
      <c r="E8" s="10" t="s">
        <v>40</v>
      </c>
      <c r="F8" s="24">
        <f>VLOOKUP(B8,'Song Tracker'!$A$3:$F$49,6,FALSE)</f>
        <v>5.5555555555555558E-3</v>
      </c>
    </row>
    <row r="9" spans="1:6" ht="22" customHeight="1" x14ac:dyDescent="0.2">
      <c r="A9" s="19">
        <v>6</v>
      </c>
      <c r="B9" s="10" t="s">
        <v>112</v>
      </c>
      <c r="C9" s="17" t="s">
        <v>2</v>
      </c>
      <c r="D9" s="17" t="s">
        <v>3</v>
      </c>
      <c r="E9" s="10" t="s">
        <v>44</v>
      </c>
      <c r="F9" s="24">
        <f>VLOOKUP(B9,'Song Tracker'!$A$3:$F$49,6,FALSE)</f>
        <v>2.430555555555556E-3</v>
      </c>
    </row>
    <row r="10" spans="1:6" ht="22" customHeight="1" x14ac:dyDescent="0.2">
      <c r="A10" s="19">
        <v>7</v>
      </c>
      <c r="B10" s="10" t="s">
        <v>109</v>
      </c>
      <c r="C10" s="17" t="s">
        <v>2</v>
      </c>
      <c r="D10" s="17" t="s">
        <v>3</v>
      </c>
      <c r="E10" s="10" t="s">
        <v>40</v>
      </c>
      <c r="F10" s="24">
        <v>4.1319444444444442E-3</v>
      </c>
    </row>
    <row r="11" spans="1:6" ht="22" customHeight="1" x14ac:dyDescent="0.2">
      <c r="A11" s="19">
        <v>8</v>
      </c>
      <c r="B11" s="10" t="s">
        <v>81</v>
      </c>
      <c r="C11" s="17" t="s">
        <v>2</v>
      </c>
      <c r="D11" s="17" t="s">
        <v>3</v>
      </c>
      <c r="E11" s="10" t="s">
        <v>35</v>
      </c>
      <c r="F11" s="24">
        <v>4.6874999999999998E-3</v>
      </c>
    </row>
    <row r="12" spans="1:6" ht="22" customHeight="1" x14ac:dyDescent="0.2">
      <c r="A12" s="19">
        <v>9</v>
      </c>
      <c r="B12" s="10" t="s">
        <v>70</v>
      </c>
      <c r="C12" s="17" t="s">
        <v>2</v>
      </c>
      <c r="D12" s="17" t="s">
        <v>3</v>
      </c>
      <c r="E12" s="10" t="s">
        <v>40</v>
      </c>
      <c r="F12" s="24">
        <v>2.7893518518518519E-3</v>
      </c>
    </row>
    <row r="13" spans="1:6" ht="22" customHeight="1" x14ac:dyDescent="0.2">
      <c r="A13" s="19">
        <v>10</v>
      </c>
      <c r="B13" s="10" t="s">
        <v>100</v>
      </c>
      <c r="C13" s="17" t="s">
        <v>2</v>
      </c>
      <c r="D13" s="17" t="s">
        <v>3</v>
      </c>
      <c r="E13" s="10" t="s">
        <v>44</v>
      </c>
      <c r="F13" s="24">
        <v>2.0486111111111109E-3</v>
      </c>
    </row>
    <row r="14" spans="1:6" ht="22" customHeight="1" x14ac:dyDescent="0.2">
      <c r="A14" s="19">
        <v>11</v>
      </c>
      <c r="B14" s="10" t="s">
        <v>111</v>
      </c>
      <c r="C14" s="17" t="s">
        <v>2</v>
      </c>
      <c r="D14" s="17" t="s">
        <v>3</v>
      </c>
      <c r="E14" s="10" t="s">
        <v>40</v>
      </c>
      <c r="F14" s="24">
        <v>5.9606481481481481E-3</v>
      </c>
    </row>
    <row r="15" spans="1:6" ht="22" customHeight="1" x14ac:dyDescent="0.2">
      <c r="A15" s="11"/>
      <c r="B15" s="9"/>
      <c r="C15" s="12"/>
      <c r="D15" s="12"/>
      <c r="E15" s="9"/>
      <c r="F15" s="25"/>
    </row>
    <row r="16" spans="1:6" ht="22" customHeight="1" thickBot="1" x14ac:dyDescent="0.25">
      <c r="A16" s="13"/>
      <c r="B16" s="14" t="s">
        <v>170</v>
      </c>
      <c r="C16" s="15"/>
      <c r="D16" s="15"/>
      <c r="E16" s="14"/>
      <c r="F16" s="16">
        <f>SUM(F4:F15)</f>
        <v>3.7789351851851852E-2</v>
      </c>
    </row>
  </sheetData>
  <mergeCells count="2">
    <mergeCell ref="A2:F2"/>
    <mergeCell ref="A1:F1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D13" r:id="rId20" xr:uid="{00000000-0004-0000-1300-000013000000}"/>
    <hyperlink ref="C14" r:id="rId21" xr:uid="{00000000-0004-0000-1300-000014000000}"/>
    <hyperlink ref="D14" r:id="rId22" xr:uid="{00000000-0004-0000-13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 x14ac:dyDescent="0.2"/>
  <cols>
    <col min="1" max="1" width="6.6640625" style="8" customWidth="1"/>
    <col min="2" max="2" width="30" customWidth="1"/>
    <col min="3" max="4" width="6.6640625" style="8" customWidth="1"/>
    <col min="5" max="5" width="16.6640625" customWidth="1"/>
    <col min="6" max="6" width="11.6640625" style="8" customWidth="1"/>
  </cols>
  <sheetData>
    <row r="1" spans="1:6" ht="50" customHeight="1" thickBot="1" x14ac:dyDescent="0.25">
      <c r="A1" s="144" t="s">
        <v>91</v>
      </c>
      <c r="B1" s="145"/>
      <c r="C1" s="145"/>
      <c r="D1" s="145"/>
      <c r="E1" s="145"/>
      <c r="F1" s="146"/>
    </row>
    <row r="2" spans="1:6" ht="28" customHeight="1" thickBot="1" x14ac:dyDescent="0.25">
      <c r="A2" s="147" t="s">
        <v>191</v>
      </c>
      <c r="B2" s="145"/>
      <c r="C2" s="145"/>
      <c r="D2" s="145"/>
      <c r="E2" s="145"/>
      <c r="F2" s="146"/>
    </row>
    <row r="3" spans="1:6" ht="22" customHeight="1" x14ac:dyDescent="0.2">
      <c r="A3" s="82" t="s">
        <v>167</v>
      </c>
      <c r="B3" s="83" t="s">
        <v>1</v>
      </c>
      <c r="C3" s="84" t="s">
        <v>2</v>
      </c>
      <c r="D3" s="84" t="s">
        <v>3</v>
      </c>
      <c r="E3" s="83" t="s">
        <v>168</v>
      </c>
      <c r="F3" s="85" t="s">
        <v>6</v>
      </c>
    </row>
    <row r="4" spans="1:6" ht="22" customHeight="1" x14ac:dyDescent="0.2">
      <c r="A4" s="19">
        <v>1</v>
      </c>
      <c r="B4" s="10" t="s">
        <v>56</v>
      </c>
      <c r="C4" s="17" t="s">
        <v>2</v>
      </c>
      <c r="D4" s="17" t="s">
        <v>3</v>
      </c>
      <c r="E4" s="10" t="s">
        <v>40</v>
      </c>
      <c r="F4" s="24">
        <v>2.1875000000000002E-3</v>
      </c>
    </row>
    <row r="5" spans="1:6" ht="22" customHeight="1" x14ac:dyDescent="0.2">
      <c r="A5" s="19">
        <v>2</v>
      </c>
      <c r="B5" s="10" t="s">
        <v>72</v>
      </c>
      <c r="C5" s="17" t="s">
        <v>2</v>
      </c>
      <c r="D5" s="17" t="s">
        <v>3</v>
      </c>
      <c r="E5" s="10" t="s">
        <v>44</v>
      </c>
      <c r="F5" s="24">
        <v>2.488425925925926E-3</v>
      </c>
    </row>
    <row r="6" spans="1:6" ht="22" customHeight="1" x14ac:dyDescent="0.2">
      <c r="A6" s="19">
        <v>3</v>
      </c>
      <c r="B6" s="10" t="s">
        <v>104</v>
      </c>
      <c r="C6" s="17" t="s">
        <v>2</v>
      </c>
      <c r="D6" s="17" t="s">
        <v>3</v>
      </c>
      <c r="E6" s="10" t="s">
        <v>55</v>
      </c>
      <c r="F6" s="24">
        <f>VLOOKUP(B6,'Song Tracker'!$A$3:$F$49,6,FALSE)</f>
        <v>1.967592592592592E-3</v>
      </c>
    </row>
    <row r="7" spans="1:6" ht="22" customHeight="1" x14ac:dyDescent="0.2">
      <c r="A7" s="19">
        <v>4</v>
      </c>
      <c r="B7" s="10" t="s">
        <v>59</v>
      </c>
      <c r="C7" s="17" t="s">
        <v>2</v>
      </c>
      <c r="D7" s="17" t="s">
        <v>3</v>
      </c>
      <c r="E7" s="10" t="s">
        <v>40</v>
      </c>
      <c r="F7" s="24">
        <f>VLOOKUP(B7,'Song Tracker'!$A$3:$F$49,6,FALSE)</f>
        <v>5.5555555555555558E-3</v>
      </c>
    </row>
    <row r="8" spans="1:6" ht="22" customHeight="1" x14ac:dyDescent="0.2">
      <c r="A8" s="19">
        <v>5</v>
      </c>
      <c r="B8" s="10" t="s">
        <v>53</v>
      </c>
      <c r="C8" s="17" t="s">
        <v>2</v>
      </c>
      <c r="D8" s="17" t="s">
        <v>3</v>
      </c>
      <c r="E8" s="10" t="s">
        <v>55</v>
      </c>
      <c r="F8" s="24">
        <v>1.747685185185185E-3</v>
      </c>
    </row>
    <row r="9" spans="1:6" ht="22" customHeight="1" x14ac:dyDescent="0.2">
      <c r="A9" s="19">
        <v>6</v>
      </c>
      <c r="B9" s="10" t="s">
        <v>131</v>
      </c>
      <c r="C9" s="17" t="s">
        <v>2</v>
      </c>
      <c r="D9" s="17" t="s">
        <v>3</v>
      </c>
      <c r="E9" s="10" t="s">
        <v>44</v>
      </c>
      <c r="F9" s="24">
        <v>3.3217592592592591E-3</v>
      </c>
    </row>
    <row r="10" spans="1:6" ht="22" customHeight="1" x14ac:dyDescent="0.2">
      <c r="A10" s="19">
        <v>7</v>
      </c>
      <c r="B10" s="10" t="s">
        <v>68</v>
      </c>
      <c r="C10" s="18"/>
      <c r="D10" s="17" t="s">
        <v>3</v>
      </c>
      <c r="E10" s="10" t="s">
        <v>40</v>
      </c>
      <c r="F10" s="24">
        <f>VLOOKUP(B10,'Song Tracker'!$A$3:$F$49,6,FALSE)</f>
        <v>1.770833333333333E-3</v>
      </c>
    </row>
    <row r="11" spans="1:6" ht="22" customHeight="1" x14ac:dyDescent="0.2">
      <c r="A11" s="19">
        <v>8</v>
      </c>
      <c r="B11" s="10" t="s">
        <v>85</v>
      </c>
      <c r="C11" s="17" t="s">
        <v>2</v>
      </c>
      <c r="D11" s="17" t="s">
        <v>3</v>
      </c>
      <c r="E11" s="10" t="s">
        <v>35</v>
      </c>
      <c r="F11" s="24">
        <v>2.5810185185185189E-3</v>
      </c>
    </row>
    <row r="12" spans="1:6" ht="22" customHeight="1" x14ac:dyDescent="0.2">
      <c r="A12" s="19">
        <v>9</v>
      </c>
      <c r="B12" s="10" t="s">
        <v>137</v>
      </c>
      <c r="C12" s="17" t="s">
        <v>2</v>
      </c>
      <c r="D12" s="17" t="s">
        <v>3</v>
      </c>
      <c r="E12" s="10" t="s">
        <v>40</v>
      </c>
      <c r="F12" s="24">
        <v>2.0949074074074069E-3</v>
      </c>
    </row>
    <row r="13" spans="1:6" ht="22" customHeight="1" x14ac:dyDescent="0.2">
      <c r="A13" s="19">
        <v>10</v>
      </c>
      <c r="B13" s="10" t="s">
        <v>81</v>
      </c>
      <c r="C13" s="17" t="s">
        <v>2</v>
      </c>
      <c r="D13" s="17" t="s">
        <v>3</v>
      </c>
      <c r="E13" s="10" t="s">
        <v>35</v>
      </c>
      <c r="F13" s="24">
        <v>4.6874999999999998E-3</v>
      </c>
    </row>
    <row r="14" spans="1:6" x14ac:dyDescent="0.2">
      <c r="A14" s="11"/>
      <c r="B14" s="9"/>
      <c r="C14" s="12"/>
      <c r="D14" s="12"/>
      <c r="E14" s="9"/>
      <c r="F14" s="25"/>
    </row>
    <row r="15" spans="1:6" ht="22" customHeight="1" thickBot="1" x14ac:dyDescent="0.25">
      <c r="A15" s="13"/>
      <c r="B15" s="14" t="s">
        <v>170</v>
      </c>
      <c r="C15" s="15"/>
      <c r="D15" s="15"/>
      <c r="E15" s="14"/>
      <c r="F15" s="16">
        <f>SUM(F4:F14)</f>
        <v>2.840277777777778E-2</v>
      </c>
    </row>
  </sheetData>
  <mergeCells count="2">
    <mergeCell ref="A2:F2"/>
    <mergeCell ref="A1:F1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D10" r:id="rId13" xr:uid="{00000000-0004-0000-1400-00000C000000}"/>
    <hyperlink ref="C11" r:id="rId14" xr:uid="{00000000-0004-0000-1400-00000D000000}"/>
    <hyperlink ref="D11" r:id="rId15" xr:uid="{00000000-0004-0000-1400-00000E000000}"/>
    <hyperlink ref="C12" r:id="rId16" xr:uid="{00000000-0004-0000-1400-00000F000000}"/>
    <hyperlink ref="D12" r:id="rId17" xr:uid="{00000000-0004-0000-1400-000010000000}"/>
    <hyperlink ref="C13" r:id="rId18" xr:uid="{00000000-0004-0000-1400-000011000000}"/>
    <hyperlink ref="D13" r:id="rId19" xr:uid="{00000000-0004-0000-14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5</vt:i4>
      </vt:variant>
    </vt:vector>
  </HeadingPairs>
  <TitlesOfParts>
    <vt:vector size="27" baseType="lpstr">
      <vt:lpstr>Song Tracker</vt:lpstr>
      <vt:lpstr>Potential Songs</vt:lpstr>
      <vt:lpstr>2026-09-12 Block Party</vt:lpstr>
      <vt:lpstr>2026-06-24 Ridgeville Parks</vt:lpstr>
      <vt:lpstr>2026-06-21 Chicago Union Rain C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 Rain C'!Print_Area</vt:lpstr>
      <vt:lpstr>'2026-06-24 Ridgeville Parks'!Print_Area</vt:lpstr>
      <vt:lpstr>'2026-09-12 Block Party'!Print_Area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Shultz</cp:lastModifiedBy>
  <cp:lastPrinted>2026-05-14T13:20:00Z</cp:lastPrinted>
  <dcterms:created xsi:type="dcterms:W3CDTF">2026-05-10T18:18:30Z</dcterms:created>
  <dcterms:modified xsi:type="dcterms:W3CDTF">2026-09-11T22:16:51Z</dcterms:modified>
</cp:coreProperties>
</file>