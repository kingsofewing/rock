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2397D385-E139-0742-8329-FE050BA22B1D}" xr6:coauthVersionLast="47" xr6:coauthVersionMax="47" xr10:uidLastSave="{00000000-0000-0000-0000-000000000000}"/>
  <bookViews>
    <workbookView xWindow="4760" yWindow="4580" windowWidth="27380" windowHeight="16920" activeTab="2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Expens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8" l="1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7"/>
  <c r="F4" i="6"/>
  <c r="F35" i="12" l="1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<sst xmlns="http://schemas.openxmlformats.org/spreadsheetml/2006/main" count="2169" uniqueCount="275">
  <si>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</si>
  <si>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</si>
  <si>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</si>
  <si>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</si>
  <si>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</si>
  <si>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</si>
  <si>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</si>
  <si>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</si>
  <si>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</si>
  <si>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</si>
  <si>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</si>
  <si>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</si>
  <si>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</si>
  <si>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</si>
  <si>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</si>
  <si>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</si>
  <si>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</si>
  <si>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</si>
  <si>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</si>
  <si>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</si>
  <si>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</si>
  <si>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</si>
  <si>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</si>
  <si>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</si>
  <si>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</si>
  <si>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</si>
  <si>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</si>
  <si>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</si>
  <si>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</si>
  <si>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</si>
  <si>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</si>
  <si>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</si>
  <si>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</si>
  <si>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</si>
  <si>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</si>
  <si>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</si>
  <si>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</si>
  <si>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</si>
  <si>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</si>
  <si>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</si>
  <si>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</si>
  <si>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</si>
  <si>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</si>
  <si>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</si>
  <si>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</si>
  <si>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</si>
  <si>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</si>
  <si>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</si>
  <si>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</si>
  <si>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</si>
  <si>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</si>
  <si>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</si>
  <si>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</si>
  <si>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</si>
  <si>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</si>
  <si>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</si>
  <si>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</si>
  <si>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</si>
  <si>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</si>
  <si>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</si>
  <si>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</si>
  <si>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</si>
  <si>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</si>
  <si>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</si>
  <si>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</si>
  <si>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</si>
  <si>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</si>
  <si>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</si>
  <si>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</si>
  <si>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</si>
  <si>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</si>
  <si>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</si>
  <si>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</si>
  <si>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</si>
  <si>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</si>
  <si>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</si>
  <si>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</si>
  <si>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</si>
  <si>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</si>
  <si>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</si>
  <si>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</si>
  <si>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</si>
  <si>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</si>
  <si>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</si>
  <si>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</si>
  <si>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</si>
  <si>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</si>
  <si>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</si>
  <si>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</si>
  <si>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</si>
  <si>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</si>
  <si>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</si>
  <si>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</si>
  <si>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</si>
  <si>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</si>
  <si>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</si>
  <si>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</si>
  <si>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</si>
  <si>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</si>
  <si>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</si>
  <si>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</si>
  <si>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</si>
  <si>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</si>
  <si>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</si>
  <si>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</si>
  <si>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</si>
  <si>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</si>
  <si>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</si>
  <si>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</si>
  <si>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</si>
  <si>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</si>
  <si>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</si>
  <si>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</si>
  <si>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</si>
  <si>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</si>
  <si>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</si>
  <si>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</si>
  <si>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</si>
  <si>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</si>
  <si>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</si>
  <si>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</si>
  <si>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</si>
  <si>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</si>
  <si>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</si>
  <si>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</si>
  <si>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</si>
  <si>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</si>
  <si>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</si>
  <si>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</si>
  <si>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</si>
  <si>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</si>
  <si>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</si>
  <si>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</si>
  <si>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</si>
  <si>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</si>
  <si>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</si>
  <si>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</si>
  <si>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</si>
  <si>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</si>
  <si>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</si>
  <si>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</si>
  <si>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</si>
  <si>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</si>
  <si>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</si>
  <si>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</si>
  <si>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</si>
  <si>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</si>
  <si>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</si>
  <si>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</si>
  <si>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</si>
  <si>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</si>
  <si>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</si>
  <si>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</si>
  <si>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</si>
  <si>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</si>
  <si>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</si>
  <si>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</si>
  <si>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</si>
  <si>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</si>
  <si>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</si>
  <si>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</si>
  <si>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</si>
  <si>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</si>
  <si>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</si>
  <si>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</si>
  <si>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</si>
  <si>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</si>
  <si>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</si>
  <si>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</si>
  <si>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</si>
  <si>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</si>
  <si>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</si>
  <si>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</si>
  <si>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</si>
  <si>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</si>
  <si>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</si>
  <si>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</si>
  <si>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</si>
  <si>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</si>
  <si>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</si>
  <si>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</si>
  <si>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</si>
  <si>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</si>
  <si>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</si>
  <si>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</si>
  <si>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</si>
  <si>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</si>
  <si>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</si>
  <si>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</si>
  <si>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</si>
  <si>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</si>
  <si>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</si>
  <si>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</si>
  <si>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</si>
  <si>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</si>
  <si>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</si>
  <si>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</si>
  <si>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</si>
  <si>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</si>
  <si>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</si>
  <si>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</si>
  <si>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</si>
  <si>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</si>
  <si>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</si>
  <si>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</si>
  <si>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</si>
  <si>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</si>
  <si>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</si>
  <si>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</si>
  <si>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</si>
  <si>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</si>
  <si>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</si>
  <si>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</si>
  <si>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</si>
  <si>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</si>
  <si>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</si>
  <si>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</si>
  <si>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</si>
  <si>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</si>
  <si>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</si>
  <si>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</si>
  <si>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</si>
  <si>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</si>
  <si>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</si>
  <si>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</si>
  <si>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</si>
  <si>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</si>
  <si>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</si>
  <si>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</si>
  <si>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</si>
  <si>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</si>
  <si>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</si>
  <si>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</si>
  <si>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</si>
  <si>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</si>
  <si>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</si>
  <si>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</si>
  <si>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</si>
  <si>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KINGS OF EWING — EXPENSES</t>
  </si>
  <si>
    <t>Description</t>
  </si>
  <si>
    <t>Paid By</t>
  </si>
  <si>
    <t>Amount</t>
  </si>
  <si>
    <t>polytune 3 from sweetwater</t>
  </si>
  <si>
    <t>replacement for lost one</t>
  </si>
  <si>
    <t>2026-06-24 — Ridgeville Parks District — 6:00 PM</t>
  </si>
  <si>
    <t>#</t>
  </si>
  <si>
    <t>Vocals</t>
  </si>
  <si>
    <t>Total Set Length</t>
  </si>
  <si>
    <t>2026-06-21 — Chicago Union FC — ETHS Lazier Field — 5:00 PM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</si>
  <si>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</si>
  <si>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</si>
  <si>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</si>
  <si>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</si>
  <si>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</si>
  <si>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</si>
  <si>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</si>
  <si>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</si>
  <si>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</si>
  <si>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</si>
  <si>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</si>
  <si>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</si>
  <si>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</si>
  <si>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</si>
  <si>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</si>
  <si>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</si>
  <si>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</si>
  <si>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</si>
  <si>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</si>
  <si>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</si>
  <si>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</si>
  <si>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</si>
  <si>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</si>
  <si>
    <t>Honest Mistake</t>
  </si>
  <si>
    <t>The Bravery</t>
  </si>
  <si>
    <t>Drea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</si>
</sst>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6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/>
      <top style="thick">
        <color auto="1"/>
      </top>
      <bottom style="thick">
        <color auto="1"/>
      </bottom>
      <diagonal/>
    </border>
    <border>
      <left/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ck">
        <color auto="1"/>
      </top>
      <bottom style="thick">
        <color auto="1"/>
      </bottom>
      <diagonal/>
    </border>
    <border>
      <left/>
      <right style="thin">
        <color rgb="FFCCCCCC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ck">
        <color rgb="FFD3D3D3"/>
      </top>
      <bottom style="thick">
        <color rgb="FFD3D3D3"/>
      </bottom>
      <diagonal/>
    </border>
    <border>
      <left style="thin">
        <color rgb="FFD3D3D3"/>
      </left>
      <right/>
      <top style="thin">
        <color rgb="FFD3D3D3"/>
      </top>
      <bottom style="thin">
        <color rgb="FFD3D3D3"/>
      </bottom>
      <diagonal/>
    </border>
    <border>
      <left style="thin">
        <color rgb="FFD3D3D3"/>
      </left>
      <right/>
      <top/>
      <bottom style="thin">
        <color rgb="FFD3D3D3"/>
      </bottom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46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8" xfId="0" applyBorder="1"/>
    <xf numFmtId="44" fontId="0" fillId="0" borderId="0" xfId="1" applyFont="1"/>
    <xf numFmtId="164" fontId="0" fillId="0" borderId="0" xfId="1" applyNumberFormat="1" applyFont="1"/>
    <xf numFmtId="0" fontId="7" fillId="0" borderId="0" xfId="0" applyFont="1"/>
    <xf numFmtId="0" fontId="1" fillId="0" borderId="0" xfId="0" applyFont="1"/>
    <xf numFmtId="44" fontId="7" fillId="0" borderId="0" xfId="1" applyFont="1"/>
    <xf numFmtId="44" fontId="1" fillId="0" borderId="0" xfId="1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3" xfId="0" applyFont="1" applyBorder="1"/>
    <xf numFmtId="0" fontId="19" fillId="0" borderId="10" xfId="0" applyFont="1" applyBorder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16" fillId="0" borderId="10" xfId="0" applyFont="1" applyBorder="1"/>
    <xf numFmtId="0" fontId="3" fillId="0" borderId="10" xfId="0" applyFont="1" applyBorder="1" applyAlignment="1">
      <alignment horizontal="left" vertical="center"/>
    </xf>
    <xf numFmtId="0" fontId="19" fillId="0" borderId="17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0" fontId="20" fillId="0" borderId="14" xfId="0" applyFont="1" applyBorder="1" applyAlignment="1">
      <alignment horizontal="center" vertical="center"/>
    </xf>
    <xf numFmtId="46" fontId="20" fillId="0" borderId="18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5" xfId="0" applyFill="1" applyBorder="1"/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0" fillId="2" borderId="6" xfId="0" applyFill="1" applyBorder="1"/>
    <xf numFmtId="0" fontId="2" fillId="2" borderId="7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8" xfId="0" applyFont="1" applyFill="1" applyBorder="1" applyAlignment="1">
      <alignment horizontal="left" vertical="center"/>
    </xf>
    <xf numFmtId="0" fontId="0" fillId="2" borderId="8" xfId="0" applyFill="1" applyBorder="1"/>
    <xf numFmtId="0" fontId="2" fillId="2" borderId="8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14" fontId="7" fillId="2" borderId="0" xfId="0" applyNumberFormat="1" applyFont="1" applyFill="1"/>
    <xf numFmtId="44" fontId="7" fillId="2" borderId="0" xfId="1" applyFont="1" applyFill="1"/>
    <xf numFmtId="165" fontId="3" fillId="2" borderId="2" xfId="0" applyNumberFormat="1" applyFont="1" applyFill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165" fontId="16" fillId="0" borderId="17" xfId="0" applyNumberFormat="1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165" fontId="3" fillId="0" borderId="23" xfId="0" applyNumberFormat="1" applyFont="1" applyBorder="1" applyAlignment="1">
      <alignment horizontal="center" vertical="center"/>
    </xf>
    <xf numFmtId="0" fontId="16" fillId="0" borderId="22" xfId="0" applyFont="1" applyBorder="1" applyAlignment="1">
      <alignment horizontal="center"/>
    </xf>
    <xf numFmtId="165" fontId="16" fillId="0" borderId="23" xfId="0" applyNumberFormat="1" applyFont="1" applyBorder="1" applyAlignment="1">
      <alignment horizontal="center"/>
    </xf>
    <xf numFmtId="0" fontId="20" fillId="0" borderId="24" xfId="0" applyFont="1" applyBorder="1" applyAlignment="1">
      <alignment horizontal="center" vertical="center"/>
    </xf>
    <xf numFmtId="0" fontId="20" fillId="0" borderId="25" xfId="0" applyFont="1" applyBorder="1" applyAlignment="1">
      <alignment horizontal="left" vertical="center"/>
    </xf>
    <xf numFmtId="0" fontId="20" fillId="0" borderId="25" xfId="0" applyFont="1" applyBorder="1" applyAlignment="1">
      <alignment horizontal="center" vertical="center"/>
    </xf>
    <xf numFmtId="46" fontId="20" fillId="0" borderId="26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2" xfId="0" applyNumberFormat="1" applyFont="1" applyFill="1" applyBorder="1" applyAlignment="1">
      <alignment horizontal="left" vertical="center"/>
    </xf>
    <xf numFmtId="0" fontId="19" fillId="2" borderId="34" xfId="0" applyFont="1" applyFill="1" applyBorder="1" applyAlignment="1">
      <alignment horizontal="center" vertical="center"/>
    </xf>
    <xf numFmtId="0" fontId="19" fillId="2" borderId="33" xfId="0" applyFont="1" applyFill="1" applyBorder="1" applyAlignment="1">
      <alignment horizontal="center" vertical="center"/>
    </xf>
    <xf numFmtId="0" fontId="19" fillId="2" borderId="32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left" vertical="center"/>
    </xf>
    <xf numFmtId="0" fontId="3" fillId="2" borderId="36" xfId="0" applyFont="1" applyFill="1" applyBorder="1" applyAlignment="1">
      <alignment horizontal="left" vertical="center"/>
    </xf>
    <xf numFmtId="0" fontId="10" fillId="2" borderId="36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165" fontId="3" fillId="2" borderId="38" xfId="0" applyNumberFormat="1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3" fillId="2" borderId="33" xfId="0" applyFont="1" applyFill="1" applyBorder="1" applyAlignment="1">
      <alignment horizontal="left" vertical="center"/>
    </xf>
    <xf numFmtId="0" fontId="10" fillId="2" borderId="39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15" fillId="2" borderId="39" xfId="2" applyFont="1" applyFill="1" applyBorder="1" applyAlignment="1">
      <alignment horizontal="left" vertical="center"/>
    </xf>
    <xf numFmtId="0" fontId="12" fillId="0" borderId="41" xfId="2" applyFont="1" applyBorder="1" applyAlignment="1">
      <alignment horizontal="left" vertical="center"/>
    </xf>
    <xf numFmtId="0" fontId="10" fillId="2" borderId="33" xfId="0" applyFont="1" applyFill="1" applyBorder="1" applyAlignment="1">
      <alignment horizontal="left" vertical="center"/>
    </xf>
    <xf numFmtId="0" fontId="10" fillId="2" borderId="42" xfId="0" applyFont="1" applyFill="1" applyBorder="1" applyAlignment="1">
      <alignment horizontal="left" vertical="center"/>
    </xf>
    <xf numFmtId="0" fontId="3" fillId="2" borderId="43" xfId="0" applyFont="1" applyFill="1" applyBorder="1" applyAlignment="1">
      <alignment horizontal="left" vertical="center" wrapText="1"/>
    </xf>
    <xf numFmtId="0" fontId="3" fillId="2" borderId="43" xfId="0" applyFont="1" applyFill="1" applyBorder="1" applyAlignment="1">
      <alignment horizontal="left" vertical="center"/>
    </xf>
    <xf numFmtId="165" fontId="21" fillId="2" borderId="32" xfId="0" applyNumberFormat="1" applyFont="1" applyFill="1" applyBorder="1" applyAlignment="1">
      <alignment horizontal="left" vertical="center"/>
    </xf>
    <xf numFmtId="0" fontId="20" fillId="2" borderId="47" xfId="0" applyFont="1" applyFill="1" applyBorder="1" applyAlignment="1">
      <alignment horizontal="left" vertical="center"/>
    </xf>
    <xf numFmtId="0" fontId="20" fillId="2" borderId="48" xfId="0" applyFont="1" applyFill="1" applyBorder="1" applyAlignment="1">
      <alignment horizontal="left" vertical="center"/>
    </xf>
    <xf numFmtId="46" fontId="20" fillId="2" borderId="49" xfId="0" applyNumberFormat="1" applyFont="1" applyFill="1" applyBorder="1" applyAlignment="1">
      <alignment horizontal="left" vertical="center"/>
    </xf>
    <xf numFmtId="0" fontId="3" fillId="4" borderId="44" xfId="0" applyFont="1" applyFill="1" applyBorder="1" applyAlignment="1">
      <alignment horizontal="left" vertical="center" wrapText="1"/>
    </xf>
    <xf numFmtId="0" fontId="10" fillId="4" borderId="45" xfId="0" applyFont="1" applyFill="1" applyBorder="1" applyAlignment="1">
      <alignment horizontal="left" vertical="center"/>
    </xf>
    <xf numFmtId="0" fontId="10" fillId="4" borderId="40" xfId="0" applyFont="1" applyFill="1" applyBorder="1" applyAlignment="1">
      <alignment horizontal="left" vertical="center"/>
    </xf>
    <xf numFmtId="165" fontId="3" fillId="4" borderId="46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3" fillId="2" borderId="52" xfId="0" applyFont="1" applyFill="1" applyBorder="1" applyAlignment="1">
      <alignment horizontal="left" vertical="center"/>
    </xf>
    <xf numFmtId="0" fontId="3" fillId="5" borderId="53" xfId="0" applyFont="1" applyFill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center" vertical="center" wrapText="1"/>
    </xf>
    <xf numFmtId="0" fontId="11" fillId="2" borderId="55" xfId="0" applyFont="1" applyFill="1" applyBorder="1" applyAlignment="1">
      <alignment horizontal="center" vertical="center" wrapText="1"/>
    </xf>
    <xf numFmtId="0" fontId="0" fillId="2" borderId="56" xfId="0" applyFill="1" applyBorder="1"/>
    <xf numFmtId="0" fontId="3" fillId="2" borderId="60" xfId="0" applyFont="1" applyFill="1" applyBorder="1" applyAlignment="1">
      <alignment horizontal="center" vertical="center"/>
    </xf>
    <xf numFmtId="0" fontId="3" fillId="5" borderId="60" xfId="0" applyFont="1" applyFill="1" applyBorder="1" applyAlignment="1">
      <alignment horizontal="center" vertical="center"/>
    </xf>
    <xf numFmtId="0" fontId="0" fillId="2" borderId="57" xfId="0" applyFill="1" applyBorder="1"/>
    <xf numFmtId="0" fontId="0" fillId="5" borderId="57" xfId="0" applyFill="1" applyBorder="1"/>
    <xf numFmtId="0" fontId="3" fillId="2" borderId="57" xfId="0" applyFont="1" applyFill="1" applyBorder="1" applyAlignment="1">
      <alignment horizontal="left" vertical="center"/>
    </xf>
    <xf numFmtId="0" fontId="3" fillId="5" borderId="57" xfId="0" applyFont="1" applyFill="1" applyBorder="1" applyAlignment="1">
      <alignment horizontal="left" vertical="center"/>
    </xf>
    <xf numFmtId="0" fontId="3" fillId="2" borderId="61" xfId="0" applyFont="1" applyFill="1" applyBorder="1" applyAlignment="1">
      <alignment horizontal="center" vertical="center"/>
    </xf>
    <xf numFmtId="0" fontId="0" fillId="2" borderId="58" xfId="0" applyFill="1" applyBorder="1"/>
    <xf numFmtId="0" fontId="11" fillId="2" borderId="59" xfId="0" applyFont="1" applyFill="1" applyBorder="1" applyAlignment="1">
      <alignment horizontal="center" vertical="center" wrapText="1"/>
    </xf>
    <xf numFmtId="0" fontId="11" fillId="2" borderId="0" xfId="2" applyFont="1" applyFill="1" applyAlignment="1">
      <alignment horizontal="center" vertical="center" wrapText="1"/>
    </xf>
    <xf numFmtId="0" fontId="17" fillId="2" borderId="27" xfId="0" applyFont="1" applyFill="1" applyBorder="1" applyAlignment="1">
      <alignment horizontal="center" vertical="center"/>
    </xf>
    <xf numFmtId="0" fontId="17" fillId="2" borderId="28" xfId="0" applyFont="1" applyFill="1" applyBorder="1" applyAlignment="1">
      <alignment horizontal="center" vertical="center"/>
    </xf>
    <xf numFmtId="0" fontId="17" fillId="2" borderId="29" xfId="0" applyFont="1" applyFill="1" applyBorder="1" applyAlignment="1">
      <alignment horizontal="center" vertical="center"/>
    </xf>
    <xf numFmtId="0" fontId="20" fillId="3" borderId="30" xfId="0" applyFont="1" applyFill="1" applyBorder="1" applyAlignment="1">
      <alignment horizontal="center" vertical="center"/>
    </xf>
    <xf numFmtId="0" fontId="20" fillId="3" borderId="9" xfId="0" applyFont="1" applyFill="1" applyBorder="1" applyAlignment="1">
      <alignment horizontal="center" vertical="center"/>
    </xf>
    <xf numFmtId="0" fontId="20" fillId="3" borderId="31" xfId="0" applyFont="1" applyFill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2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M4" sqref="M4"/>
    </sheetView>
  </sheetViews>
  <sheetFormatPr baseColWidth="10" defaultColWidth="8.83203125" defaultRowHeight="15" x14ac:dyDescent="0.2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24" width="16" customWidth="1"/>
    <col min="25" max="25" width="23.5" customWidth="1"/>
    <col min="26" max="26" width="16.83203125" customWidth="1"/>
    <col min="27" max="28" width="16.33203125" customWidth="1"/>
  </cols>
  <sheetData>
    <row r="1" spans="1:28" s="2" customFormat="1" ht="28" customHeight="1" thickTop="1" thickBot="1" x14ac:dyDescent="0.25">
      <c r="A1" s="40" t="s">
        <v>0</v>
      </c>
      <c r="B1" s="41"/>
      <c r="C1" s="42"/>
      <c r="D1" s="42"/>
      <c r="E1" s="42"/>
      <c r="F1" s="42"/>
      <c r="G1" s="42"/>
      <c r="H1" s="42"/>
      <c r="I1" s="42"/>
      <c r="J1" s="43"/>
      <c r="K1" s="42"/>
      <c r="L1" s="126"/>
      <c r="M1" s="126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4"/>
    </row>
    <row r="2" spans="1:28" s="3" customFormat="1" ht="56" customHeight="1" thickTop="1" thickBot="1" x14ac:dyDescent="0.25">
      <c r="A2" s="45" t="s">
        <v>1</v>
      </c>
      <c r="B2" s="45" t="s">
        <v>2</v>
      </c>
      <c r="C2" s="45" t="s">
        <v>3</v>
      </c>
      <c r="D2" s="45" t="s">
        <v>4</v>
      </c>
      <c r="E2" s="45" t="s">
        <v>5</v>
      </c>
      <c r="F2" s="45" t="s">
        <v>6</v>
      </c>
      <c r="G2" s="45" t="s">
        <v>7</v>
      </c>
      <c r="H2" s="45" t="s">
        <v>8</v>
      </c>
      <c r="I2" s="45" t="s">
        <v>9</v>
      </c>
      <c r="J2" s="45" t="s">
        <v>10</v>
      </c>
      <c r="K2" s="124" t="s">
        <v>11</v>
      </c>
      <c r="L2" s="136" t="s">
        <v>271</v>
      </c>
      <c r="M2" s="135" t="s">
        <v>12</v>
      </c>
      <c r="N2" s="125" t="s">
        <v>13</v>
      </c>
      <c r="O2" s="46" t="s">
        <v>14</v>
      </c>
      <c r="P2" s="46" t="s">
        <v>15</v>
      </c>
      <c r="Q2" s="46" t="s">
        <v>16</v>
      </c>
      <c r="R2" s="46" t="s">
        <v>17</v>
      </c>
      <c r="S2" s="46" t="s">
        <v>18</v>
      </c>
      <c r="T2" s="46" t="s">
        <v>19</v>
      </c>
      <c r="U2" s="46" t="s">
        <v>20</v>
      </c>
      <c r="V2" s="46" t="s">
        <v>21</v>
      </c>
      <c r="W2" s="46" t="s">
        <v>22</v>
      </c>
      <c r="X2" s="46" t="s">
        <v>23</v>
      </c>
      <c r="Y2" s="46" t="s">
        <v>24</v>
      </c>
      <c r="Z2" s="46" t="s">
        <v>25</v>
      </c>
      <c r="AA2" s="46" t="s">
        <v>26</v>
      </c>
      <c r="AB2" s="46" t="s">
        <v>27</v>
      </c>
    </row>
    <row r="3" spans="1:28" ht="22" customHeight="1" thickTop="1" x14ac:dyDescent="0.2">
      <c r="A3" s="13" t="s">
        <v>28</v>
      </c>
      <c r="B3" s="47" t="s">
        <v>2</v>
      </c>
      <c r="C3" s="47" t="s">
        <v>3</v>
      </c>
      <c r="D3" s="13" t="s">
        <v>29</v>
      </c>
      <c r="E3" s="13" t="s">
        <v>30</v>
      </c>
      <c r="F3" s="66">
        <v>2.7662037037037039E-3</v>
      </c>
      <c r="G3" s="13" t="s">
        <v>31</v>
      </c>
      <c r="H3" s="13"/>
      <c r="I3" s="13" t="s">
        <v>32</v>
      </c>
      <c r="J3" s="13" t="s">
        <v>33</v>
      </c>
      <c r="K3" s="118"/>
      <c r="L3" s="133"/>
      <c r="M3" s="134"/>
      <c r="N3" s="121"/>
      <c r="O3" s="13"/>
      <c r="P3" s="13"/>
      <c r="Q3" s="13"/>
      <c r="R3" s="13" t="s">
        <v>32</v>
      </c>
      <c r="S3" s="13" t="s">
        <v>32</v>
      </c>
      <c r="T3" s="13"/>
      <c r="U3" s="13"/>
      <c r="V3" s="13"/>
      <c r="W3" s="13"/>
      <c r="X3" s="13"/>
      <c r="Y3" s="13"/>
      <c r="Z3" s="13"/>
      <c r="AA3" s="13"/>
      <c r="AB3" s="13"/>
    </row>
    <row r="4" spans="1:28" ht="22" customHeight="1" x14ac:dyDescent="0.2">
      <c r="A4" s="111" t="s">
        <v>34</v>
      </c>
      <c r="B4" s="112" t="s">
        <v>2</v>
      </c>
      <c r="C4" s="112" t="s">
        <v>3</v>
      </c>
      <c r="D4" s="111" t="s">
        <v>35</v>
      </c>
      <c r="E4" s="113" t="s">
        <v>30</v>
      </c>
      <c r="F4" s="114">
        <v>3.9583333333333337E-3</v>
      </c>
      <c r="G4" s="111" t="s">
        <v>36</v>
      </c>
      <c r="H4" s="111"/>
      <c r="I4" s="111"/>
      <c r="J4" s="111" t="s">
        <v>37</v>
      </c>
      <c r="K4" s="119"/>
      <c r="L4" s="128"/>
      <c r="M4" s="130"/>
      <c r="N4" s="122"/>
      <c r="O4" s="111"/>
      <c r="P4" s="111"/>
      <c r="Q4" s="111"/>
      <c r="R4" s="111"/>
      <c r="S4" s="111" t="s">
        <v>32</v>
      </c>
      <c r="T4" s="111"/>
      <c r="U4" s="111"/>
      <c r="V4" s="111"/>
      <c r="W4" s="111" t="s">
        <v>32</v>
      </c>
      <c r="X4" s="111" t="s">
        <v>32</v>
      </c>
      <c r="Y4" s="111"/>
      <c r="Z4" s="111"/>
      <c r="AA4" s="111"/>
      <c r="AB4" s="111"/>
    </row>
    <row r="5" spans="1:28" ht="22" customHeight="1" x14ac:dyDescent="0.2">
      <c r="A5" s="14" t="s">
        <v>250</v>
      </c>
      <c r="B5" s="48" t="s">
        <v>2</v>
      </c>
      <c r="C5" s="47" t="s">
        <v>3</v>
      </c>
      <c r="D5" s="14" t="s">
        <v>38</v>
      </c>
      <c r="E5" s="13" t="s">
        <v>30</v>
      </c>
      <c r="F5" s="66">
        <v>2.5810185185185185E-3</v>
      </c>
      <c r="G5" s="14" t="s">
        <v>39</v>
      </c>
      <c r="H5" s="14"/>
      <c r="I5" s="14" t="s">
        <v>32</v>
      </c>
      <c r="J5" s="14" t="s">
        <v>40</v>
      </c>
      <c r="K5" s="120"/>
      <c r="L5" s="127" t="s">
        <v>32</v>
      </c>
      <c r="M5" s="131" t="s">
        <v>32</v>
      </c>
      <c r="N5" s="123" t="s">
        <v>32</v>
      </c>
      <c r="O5" s="14"/>
      <c r="P5" s="14" t="s">
        <v>32</v>
      </c>
      <c r="Q5" s="14"/>
      <c r="R5" s="14"/>
      <c r="S5" s="14" t="s">
        <v>32</v>
      </c>
      <c r="T5" s="14"/>
      <c r="U5" s="14" t="s">
        <v>32</v>
      </c>
      <c r="V5" s="14"/>
      <c r="W5" s="14" t="s">
        <v>32</v>
      </c>
      <c r="X5" s="14" t="s">
        <v>32</v>
      </c>
      <c r="Y5" s="14"/>
      <c r="Z5" s="14" t="s">
        <v>32</v>
      </c>
      <c r="AA5" s="14"/>
      <c r="AB5" s="14"/>
    </row>
    <row r="6" spans="1:28" ht="22" customHeight="1" x14ac:dyDescent="0.2">
      <c r="A6" s="111" t="s">
        <v>41</v>
      </c>
      <c r="B6" s="112" t="s">
        <v>2</v>
      </c>
      <c r="C6" s="112" t="s">
        <v>3</v>
      </c>
      <c r="D6" s="111" t="s">
        <v>42</v>
      </c>
      <c r="E6" s="113" t="s">
        <v>30</v>
      </c>
      <c r="F6" s="114">
        <v>2.7199074074074074E-3</v>
      </c>
      <c r="G6" s="111" t="s">
        <v>39</v>
      </c>
      <c r="H6" s="111"/>
      <c r="I6" s="111" t="s">
        <v>32</v>
      </c>
      <c r="J6" s="111" t="s">
        <v>43</v>
      </c>
      <c r="K6" s="119"/>
      <c r="L6" s="128" t="s">
        <v>32</v>
      </c>
      <c r="M6" s="130"/>
      <c r="N6" s="122"/>
      <c r="O6" s="111"/>
      <c r="P6" s="111" t="s">
        <v>32</v>
      </c>
      <c r="Q6" s="111" t="s">
        <v>32</v>
      </c>
      <c r="R6" s="111"/>
      <c r="S6" s="111" t="s">
        <v>32</v>
      </c>
      <c r="T6" s="111"/>
      <c r="U6" s="111"/>
      <c r="V6" s="111"/>
      <c r="W6" s="111"/>
      <c r="X6" s="111"/>
      <c r="Y6" s="111"/>
      <c r="Z6" s="111"/>
      <c r="AA6" s="111"/>
      <c r="AB6" s="111"/>
    </row>
    <row r="7" spans="1:28" ht="22" customHeight="1" x14ac:dyDescent="0.2">
      <c r="A7" s="14" t="s">
        <v>44</v>
      </c>
      <c r="B7" s="15" t="s">
        <v>2</v>
      </c>
      <c r="C7" s="15" t="s">
        <v>3</v>
      </c>
      <c r="D7" s="14" t="s">
        <v>45</v>
      </c>
      <c r="E7" s="13" t="s">
        <v>30</v>
      </c>
      <c r="F7" s="66">
        <v>3.414351851851852E-3</v>
      </c>
      <c r="G7" s="14" t="s">
        <v>31</v>
      </c>
      <c r="H7" s="14"/>
      <c r="I7" s="14" t="s">
        <v>32</v>
      </c>
      <c r="J7" s="14" t="s">
        <v>43</v>
      </c>
      <c r="K7" s="120"/>
      <c r="L7" s="127" t="s">
        <v>32</v>
      </c>
      <c r="M7" s="131" t="s">
        <v>32</v>
      </c>
      <c r="N7" s="123" t="s">
        <v>32</v>
      </c>
      <c r="O7" s="14" t="s">
        <v>32</v>
      </c>
      <c r="P7" s="14" t="s">
        <v>32</v>
      </c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pans="1:28" ht="22" customHeight="1" x14ac:dyDescent="0.2">
      <c r="A8" s="111" t="s">
        <v>46</v>
      </c>
      <c r="B8" s="112" t="s">
        <v>2</v>
      </c>
      <c r="C8" s="112" t="s">
        <v>3</v>
      </c>
      <c r="D8" s="111" t="s">
        <v>47</v>
      </c>
      <c r="E8" s="113" t="s">
        <v>30</v>
      </c>
      <c r="F8" s="114">
        <v>1.7476851851851852E-3</v>
      </c>
      <c r="G8" s="111" t="s">
        <v>48</v>
      </c>
      <c r="H8" s="113" t="s">
        <v>32</v>
      </c>
      <c r="I8" s="111" t="s">
        <v>32</v>
      </c>
      <c r="J8" s="111" t="s">
        <v>43</v>
      </c>
      <c r="K8" s="119"/>
      <c r="L8" s="128"/>
      <c r="M8" s="130"/>
      <c r="N8" s="122"/>
      <c r="O8" s="111"/>
      <c r="P8" s="111" t="s">
        <v>32</v>
      </c>
      <c r="Q8" s="111"/>
      <c r="R8" s="111"/>
      <c r="S8" s="111" t="s">
        <v>32</v>
      </c>
      <c r="T8" s="111" t="s">
        <v>32</v>
      </c>
      <c r="U8" s="111" t="s">
        <v>32</v>
      </c>
      <c r="V8" s="111" t="s">
        <v>32</v>
      </c>
      <c r="W8" s="111" t="s">
        <v>32</v>
      </c>
      <c r="X8" s="111" t="s">
        <v>32</v>
      </c>
      <c r="Y8" s="111"/>
      <c r="Z8" s="111" t="s">
        <v>32</v>
      </c>
      <c r="AA8" s="111"/>
      <c r="AB8" s="111" t="s">
        <v>32</v>
      </c>
    </row>
    <row r="9" spans="1:28" ht="22" customHeight="1" x14ac:dyDescent="0.2">
      <c r="A9" s="14" t="s">
        <v>49</v>
      </c>
      <c r="B9" s="15" t="s">
        <v>2</v>
      </c>
      <c r="C9" s="15" t="s">
        <v>3</v>
      </c>
      <c r="D9" s="14" t="s">
        <v>42</v>
      </c>
      <c r="E9" s="13" t="s">
        <v>30</v>
      </c>
      <c r="F9" s="66">
        <v>2.1875000000000002E-3</v>
      </c>
      <c r="G9" s="14" t="s">
        <v>31</v>
      </c>
      <c r="H9" s="14"/>
      <c r="I9" s="14" t="s">
        <v>32</v>
      </c>
      <c r="J9" s="14" t="s">
        <v>43</v>
      </c>
      <c r="K9" s="120"/>
      <c r="L9" s="127" t="s">
        <v>32</v>
      </c>
      <c r="M9" s="131" t="s">
        <v>32</v>
      </c>
      <c r="N9" s="123" t="s">
        <v>32</v>
      </c>
      <c r="O9" s="14" t="s">
        <v>32</v>
      </c>
      <c r="P9" s="14" t="s">
        <v>32</v>
      </c>
      <c r="Q9" s="14" t="s">
        <v>32</v>
      </c>
      <c r="R9" s="14" t="s">
        <v>32</v>
      </c>
      <c r="S9" s="14" t="s">
        <v>32</v>
      </c>
      <c r="T9" s="14" t="s">
        <v>32</v>
      </c>
      <c r="U9" s="14" t="s">
        <v>32</v>
      </c>
      <c r="V9" s="14" t="s">
        <v>32</v>
      </c>
      <c r="W9" s="14" t="s">
        <v>32</v>
      </c>
      <c r="X9" s="14" t="s">
        <v>32</v>
      </c>
      <c r="Y9" s="14" t="s">
        <v>32</v>
      </c>
      <c r="Z9" s="14" t="s">
        <v>32</v>
      </c>
      <c r="AA9" s="14" t="s">
        <v>32</v>
      </c>
      <c r="AB9" s="14" t="s">
        <v>32</v>
      </c>
    </row>
    <row r="10" spans="1:28" ht="22" customHeight="1" x14ac:dyDescent="0.2">
      <c r="A10" s="111" t="s">
        <v>50</v>
      </c>
      <c r="B10" s="112" t="s">
        <v>2</v>
      </c>
      <c r="C10" s="112" t="s">
        <v>3</v>
      </c>
      <c r="D10" s="111" t="s">
        <v>51</v>
      </c>
      <c r="E10" s="113" t="s">
        <v>30</v>
      </c>
      <c r="F10" s="114">
        <v>3.3449074074074076E-3</v>
      </c>
      <c r="G10" s="111" t="s">
        <v>48</v>
      </c>
      <c r="H10" s="113" t="s">
        <v>32</v>
      </c>
      <c r="I10" s="111"/>
      <c r="J10" s="111" t="s">
        <v>37</v>
      </c>
      <c r="K10" s="119"/>
      <c r="L10" s="128"/>
      <c r="M10" s="130"/>
      <c r="N10" s="122"/>
      <c r="O10" s="111"/>
      <c r="P10" s="111"/>
      <c r="Q10" s="111"/>
      <c r="R10" s="111"/>
      <c r="S10" s="111"/>
      <c r="T10" s="111"/>
      <c r="U10" s="111"/>
      <c r="V10" s="111"/>
      <c r="W10" s="111" t="s">
        <v>32</v>
      </c>
      <c r="X10" s="111"/>
      <c r="Y10" s="111"/>
      <c r="Z10" s="111"/>
      <c r="AA10" s="111"/>
      <c r="AB10" s="111"/>
    </row>
    <row r="11" spans="1:28" ht="22" customHeight="1" x14ac:dyDescent="0.2">
      <c r="A11" s="14" t="s">
        <v>52</v>
      </c>
      <c r="B11" s="15" t="s">
        <v>2</v>
      </c>
      <c r="C11" s="15" t="s">
        <v>3</v>
      </c>
      <c r="D11" s="14" t="s">
        <v>53</v>
      </c>
      <c r="E11" s="13" t="s">
        <v>30</v>
      </c>
      <c r="F11" s="66">
        <v>5.5555555555555558E-3</v>
      </c>
      <c r="G11" s="14" t="s">
        <v>31</v>
      </c>
      <c r="H11" s="14"/>
      <c r="I11" s="14"/>
      <c r="J11" s="14" t="s">
        <v>33</v>
      </c>
      <c r="K11" s="120"/>
      <c r="L11" s="127"/>
      <c r="M11" s="129"/>
      <c r="N11" s="123"/>
      <c r="O11" s="14"/>
      <c r="P11" s="14"/>
      <c r="Q11" s="14"/>
      <c r="R11" s="14"/>
      <c r="S11" s="14" t="s">
        <v>32</v>
      </c>
      <c r="T11" s="14" t="s">
        <v>32</v>
      </c>
      <c r="U11" s="14"/>
      <c r="V11" s="14" t="s">
        <v>32</v>
      </c>
      <c r="W11" s="14" t="s">
        <v>32</v>
      </c>
      <c r="X11" s="14" t="s">
        <v>32</v>
      </c>
      <c r="Y11" s="14" t="s">
        <v>32</v>
      </c>
      <c r="Z11" s="14" t="s">
        <v>32</v>
      </c>
      <c r="AA11" s="14" t="s">
        <v>32</v>
      </c>
      <c r="AB11" s="14" t="s">
        <v>32</v>
      </c>
    </row>
    <row r="12" spans="1:28" ht="22" customHeight="1" x14ac:dyDescent="0.2">
      <c r="A12" s="111" t="s">
        <v>54</v>
      </c>
      <c r="B12" s="112" t="s">
        <v>2</v>
      </c>
      <c r="C12" s="112" t="s">
        <v>3</v>
      </c>
      <c r="D12" s="111" t="s">
        <v>55</v>
      </c>
      <c r="E12" s="113" t="s">
        <v>30</v>
      </c>
      <c r="F12" s="114">
        <v>2.7430555555555554E-3</v>
      </c>
      <c r="G12" s="111" t="s">
        <v>39</v>
      </c>
      <c r="H12" s="111"/>
      <c r="I12" s="111" t="s">
        <v>32</v>
      </c>
      <c r="J12" s="111" t="s">
        <v>56</v>
      </c>
      <c r="K12" s="119"/>
      <c r="L12" s="128" t="s">
        <v>32</v>
      </c>
      <c r="M12" s="132" t="s">
        <v>32</v>
      </c>
      <c r="N12" s="122" t="s">
        <v>32</v>
      </c>
      <c r="O12" s="111" t="s">
        <v>32</v>
      </c>
      <c r="P12" s="111" t="s">
        <v>32</v>
      </c>
      <c r="Q12" s="111" t="s">
        <v>32</v>
      </c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</row>
    <row r="13" spans="1:28" ht="22" customHeight="1" x14ac:dyDescent="0.2">
      <c r="A13" s="14" t="s">
        <v>57</v>
      </c>
      <c r="B13" s="15" t="s">
        <v>2</v>
      </c>
      <c r="C13" s="15" t="s">
        <v>3</v>
      </c>
      <c r="D13" s="14" t="s">
        <v>58</v>
      </c>
      <c r="E13" s="13" t="s">
        <v>59</v>
      </c>
      <c r="F13" s="66">
        <v>2.3032407407407407E-3</v>
      </c>
      <c r="G13" s="14" t="s">
        <v>39</v>
      </c>
      <c r="H13" s="14"/>
      <c r="I13" s="14" t="s">
        <v>32</v>
      </c>
      <c r="J13" s="14" t="s">
        <v>60</v>
      </c>
      <c r="K13" s="120"/>
      <c r="L13" s="127"/>
      <c r="M13" s="129"/>
      <c r="N13" s="123"/>
      <c r="O13" s="14"/>
      <c r="P13" s="14"/>
      <c r="Q13" s="14"/>
      <c r="R13" s="14"/>
      <c r="S13" s="14" t="s">
        <v>32</v>
      </c>
      <c r="T13" s="14" t="s">
        <v>32</v>
      </c>
      <c r="U13" s="14"/>
      <c r="V13" s="14"/>
      <c r="W13" s="14"/>
      <c r="X13" s="14"/>
      <c r="Y13" s="14"/>
      <c r="Z13" s="14"/>
      <c r="AA13" s="14"/>
      <c r="AB13" s="14"/>
    </row>
    <row r="14" spans="1:28" ht="22" customHeight="1" x14ac:dyDescent="0.2">
      <c r="A14" s="111" t="s">
        <v>61</v>
      </c>
      <c r="B14" s="116" t="s">
        <v>2</v>
      </c>
      <c r="C14" s="112" t="s">
        <v>3</v>
      </c>
      <c r="D14" s="111" t="s">
        <v>62</v>
      </c>
      <c r="E14" s="113" t="s">
        <v>30</v>
      </c>
      <c r="F14" s="114">
        <v>1.7708333333333332E-3</v>
      </c>
      <c r="G14" s="111" t="s">
        <v>31</v>
      </c>
      <c r="H14" s="111"/>
      <c r="I14" s="111"/>
      <c r="J14" s="111" t="s">
        <v>43</v>
      </c>
      <c r="K14" s="119"/>
      <c r="L14" s="128"/>
      <c r="M14" s="130"/>
      <c r="N14" s="122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 t="s">
        <v>32</v>
      </c>
    </row>
    <row r="15" spans="1:28" ht="22" customHeight="1" x14ac:dyDescent="0.2">
      <c r="A15" s="14" t="s">
        <v>63</v>
      </c>
      <c r="B15" s="15" t="s">
        <v>2</v>
      </c>
      <c r="C15" s="15" t="s">
        <v>3</v>
      </c>
      <c r="D15" s="14" t="s">
        <v>64</v>
      </c>
      <c r="E15" s="13" t="s">
        <v>30</v>
      </c>
      <c r="F15" s="66">
        <v>2.7893518518518519E-3</v>
      </c>
      <c r="G15" s="14" t="s">
        <v>31</v>
      </c>
      <c r="H15" s="14"/>
      <c r="I15" s="14" t="s">
        <v>32</v>
      </c>
      <c r="J15" s="14" t="s">
        <v>43</v>
      </c>
      <c r="K15" s="120"/>
      <c r="L15" s="127" t="s">
        <v>32</v>
      </c>
      <c r="M15" s="131" t="s">
        <v>32</v>
      </c>
      <c r="N15" s="123" t="s">
        <v>32</v>
      </c>
      <c r="O15" s="14"/>
      <c r="P15" s="14" t="s">
        <v>32</v>
      </c>
      <c r="Q15" s="14"/>
      <c r="R15" s="14" t="s">
        <v>32</v>
      </c>
      <c r="S15" s="14" t="s">
        <v>32</v>
      </c>
      <c r="T15" s="14" t="s">
        <v>32</v>
      </c>
      <c r="U15" s="14" t="s">
        <v>32</v>
      </c>
      <c r="V15" s="14"/>
      <c r="W15" s="14" t="s">
        <v>32</v>
      </c>
      <c r="X15" s="14" t="s">
        <v>32</v>
      </c>
      <c r="Y15" s="14" t="s">
        <v>32</v>
      </c>
      <c r="Z15" s="14" t="s">
        <v>32</v>
      </c>
      <c r="AA15" s="14" t="s">
        <v>32</v>
      </c>
      <c r="AB15" s="14"/>
    </row>
    <row r="16" spans="1:28" ht="22" customHeight="1" x14ac:dyDescent="0.2">
      <c r="A16" s="111" t="s">
        <v>65</v>
      </c>
      <c r="B16" s="112" t="s">
        <v>2</v>
      </c>
      <c r="C16" s="112" t="s">
        <v>3</v>
      </c>
      <c r="D16" s="111" t="s">
        <v>66</v>
      </c>
      <c r="E16" s="113" t="s">
        <v>30</v>
      </c>
      <c r="F16" s="114">
        <v>2.488425925925926E-3</v>
      </c>
      <c r="G16" s="111" t="s">
        <v>36</v>
      </c>
      <c r="H16" s="111"/>
      <c r="I16" s="111" t="s">
        <v>32</v>
      </c>
      <c r="J16" s="111" t="s">
        <v>37</v>
      </c>
      <c r="K16" s="119"/>
      <c r="L16" s="128" t="s">
        <v>32</v>
      </c>
      <c r="M16" s="130"/>
      <c r="N16" s="122"/>
      <c r="O16" s="111"/>
      <c r="P16" s="111" t="s">
        <v>32</v>
      </c>
      <c r="Q16" s="111"/>
      <c r="R16" s="111"/>
      <c r="S16" s="111" t="s">
        <v>32</v>
      </c>
      <c r="T16" s="111"/>
      <c r="U16" s="111"/>
      <c r="V16" s="111"/>
      <c r="W16" s="111" t="s">
        <v>32</v>
      </c>
      <c r="X16" s="111" t="s">
        <v>32</v>
      </c>
      <c r="Y16" s="111" t="s">
        <v>32</v>
      </c>
      <c r="Z16" s="111" t="s">
        <v>32</v>
      </c>
      <c r="AA16" s="111"/>
      <c r="AB16" s="111" t="s">
        <v>32</v>
      </c>
    </row>
    <row r="17" spans="1:28" ht="22" customHeight="1" x14ac:dyDescent="0.2">
      <c r="A17" s="14" t="s">
        <v>67</v>
      </c>
      <c r="B17" s="15" t="s">
        <v>2</v>
      </c>
      <c r="C17" s="15" t="s">
        <v>3</v>
      </c>
      <c r="D17" s="14" t="s">
        <v>68</v>
      </c>
      <c r="E17" s="13" t="s">
        <v>59</v>
      </c>
      <c r="F17" s="66">
        <v>1.9328703703703704E-3</v>
      </c>
      <c r="G17" s="14" t="s">
        <v>39</v>
      </c>
      <c r="H17" s="14"/>
      <c r="I17" s="14" t="s">
        <v>32</v>
      </c>
      <c r="J17" s="14" t="s">
        <v>69</v>
      </c>
      <c r="K17" s="120"/>
      <c r="L17" s="127"/>
      <c r="M17" s="129"/>
      <c r="N17" s="123"/>
      <c r="O17" s="14"/>
      <c r="P17" s="14" t="s">
        <v>32</v>
      </c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spans="1:28" ht="22" customHeight="1" x14ac:dyDescent="0.2">
      <c r="A18" s="111" t="s">
        <v>70</v>
      </c>
      <c r="B18" s="112" t="s">
        <v>2</v>
      </c>
      <c r="C18" s="112" t="s">
        <v>3</v>
      </c>
      <c r="D18" s="111" t="s">
        <v>71</v>
      </c>
      <c r="E18" s="113" t="s">
        <v>30</v>
      </c>
      <c r="F18" s="114">
        <v>2.4305555555555556E-3</v>
      </c>
      <c r="G18" s="111" t="s">
        <v>31</v>
      </c>
      <c r="H18" s="111"/>
      <c r="I18" s="111" t="s">
        <v>32</v>
      </c>
      <c r="J18" s="111" t="s">
        <v>69</v>
      </c>
      <c r="K18" s="119"/>
      <c r="L18" s="128" t="s">
        <v>32</v>
      </c>
      <c r="M18" s="132" t="s">
        <v>32</v>
      </c>
      <c r="N18" s="122" t="s">
        <v>32</v>
      </c>
      <c r="O18" s="111"/>
      <c r="P18" s="111" t="s">
        <v>32</v>
      </c>
      <c r="Q18" s="111" t="s">
        <v>32</v>
      </c>
      <c r="R18" s="111" t="s">
        <v>32</v>
      </c>
      <c r="S18" s="111" t="s">
        <v>32</v>
      </c>
      <c r="T18" s="111" t="s">
        <v>32</v>
      </c>
      <c r="U18" s="111"/>
      <c r="V18" s="111"/>
      <c r="W18" s="111"/>
      <c r="X18" s="111"/>
      <c r="Y18" s="111"/>
      <c r="Z18" s="111"/>
      <c r="AA18" s="111"/>
      <c r="AB18" s="111"/>
    </row>
    <row r="19" spans="1:28" ht="22" customHeight="1" x14ac:dyDescent="0.2">
      <c r="A19" s="14" t="s">
        <v>72</v>
      </c>
      <c r="B19" s="15" t="s">
        <v>2</v>
      </c>
      <c r="C19" s="15" t="s">
        <v>3</v>
      </c>
      <c r="D19" s="14" t="s">
        <v>73</v>
      </c>
      <c r="E19" s="13" t="s">
        <v>30</v>
      </c>
      <c r="F19" s="66">
        <v>2.6041666666666665E-3</v>
      </c>
      <c r="G19" s="14" t="s">
        <v>36</v>
      </c>
      <c r="H19" s="14"/>
      <c r="I19" s="14" t="s">
        <v>32</v>
      </c>
      <c r="J19" s="14" t="s">
        <v>56</v>
      </c>
      <c r="K19" s="120"/>
      <c r="L19" s="127" t="s">
        <v>32</v>
      </c>
      <c r="M19" s="131" t="s">
        <v>32</v>
      </c>
      <c r="N19" s="123" t="s">
        <v>32</v>
      </c>
      <c r="O19" s="14" t="s">
        <v>32</v>
      </c>
      <c r="P19" s="14" t="s">
        <v>32</v>
      </c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spans="1:28" ht="22" customHeight="1" x14ac:dyDescent="0.2">
      <c r="A20" s="111" t="s">
        <v>74</v>
      </c>
      <c r="B20" s="112" t="s">
        <v>2</v>
      </c>
      <c r="C20" s="112" t="s">
        <v>3</v>
      </c>
      <c r="D20" s="111" t="s">
        <v>75</v>
      </c>
      <c r="E20" s="113" t="s">
        <v>30</v>
      </c>
      <c r="F20" s="114">
        <v>4.6874999999999998E-3</v>
      </c>
      <c r="G20" s="111" t="s">
        <v>39</v>
      </c>
      <c r="H20" s="111"/>
      <c r="I20" s="111" t="s">
        <v>32</v>
      </c>
      <c r="J20" s="111" t="s">
        <v>33</v>
      </c>
      <c r="K20" s="119"/>
      <c r="L20" s="128" t="s">
        <v>32</v>
      </c>
      <c r="M20" s="130"/>
      <c r="N20" s="122"/>
      <c r="O20" s="111"/>
      <c r="P20" s="111" t="s">
        <v>32</v>
      </c>
      <c r="Q20" s="111"/>
      <c r="R20" s="111"/>
      <c r="S20" s="111" t="s">
        <v>32</v>
      </c>
      <c r="T20" s="111" t="s">
        <v>32</v>
      </c>
      <c r="U20" s="111"/>
      <c r="V20" s="111"/>
      <c r="W20" s="111" t="s">
        <v>32</v>
      </c>
      <c r="X20" s="111" t="s">
        <v>32</v>
      </c>
      <c r="Y20" s="111" t="s">
        <v>32</v>
      </c>
      <c r="Z20" s="111"/>
      <c r="AA20" s="111" t="s">
        <v>32</v>
      </c>
      <c r="AB20" s="111" t="s">
        <v>32</v>
      </c>
    </row>
    <row r="21" spans="1:28" ht="22" customHeight="1" x14ac:dyDescent="0.2">
      <c r="A21" s="14" t="s">
        <v>76</v>
      </c>
      <c r="B21" s="15" t="s">
        <v>2</v>
      </c>
      <c r="C21" s="15" t="s">
        <v>3</v>
      </c>
      <c r="D21" s="14" t="s">
        <v>77</v>
      </c>
      <c r="E21" s="13" t="s">
        <v>30</v>
      </c>
      <c r="F21" s="66">
        <v>2.5115740740740741E-3</v>
      </c>
      <c r="G21" s="14" t="s">
        <v>31</v>
      </c>
      <c r="H21" s="14"/>
      <c r="I21" s="14"/>
      <c r="J21" s="14" t="s">
        <v>43</v>
      </c>
      <c r="K21" s="120"/>
      <c r="L21" s="127"/>
      <c r="M21" s="129"/>
      <c r="N21" s="123"/>
      <c r="O21" s="14"/>
      <c r="P21" s="14"/>
      <c r="Q21" s="14"/>
      <c r="R21" s="14"/>
      <c r="S21" s="14"/>
      <c r="T21" s="14"/>
      <c r="U21" s="14"/>
      <c r="V21" s="14"/>
      <c r="W21" s="14" t="s">
        <v>32</v>
      </c>
      <c r="X21" s="14"/>
      <c r="Y21" s="14"/>
      <c r="Z21" s="14"/>
      <c r="AA21" s="14"/>
      <c r="AB21" s="14"/>
    </row>
    <row r="22" spans="1:28" ht="22" customHeight="1" x14ac:dyDescent="0.2">
      <c r="A22" s="111" t="s">
        <v>78</v>
      </c>
      <c r="B22" s="112" t="s">
        <v>2</v>
      </c>
      <c r="C22" s="112" t="s">
        <v>3</v>
      </c>
      <c r="D22" s="111" t="s">
        <v>79</v>
      </c>
      <c r="E22" s="113" t="s">
        <v>30</v>
      </c>
      <c r="F22" s="114">
        <v>2.5810185185185185E-3</v>
      </c>
      <c r="G22" s="111" t="s">
        <v>39</v>
      </c>
      <c r="H22" s="111"/>
      <c r="I22" s="111" t="s">
        <v>32</v>
      </c>
      <c r="J22" s="111" t="s">
        <v>56</v>
      </c>
      <c r="K22" s="119"/>
      <c r="L22" s="128" t="s">
        <v>32</v>
      </c>
      <c r="M22" s="132" t="s">
        <v>32</v>
      </c>
      <c r="N22" s="122" t="s">
        <v>32</v>
      </c>
      <c r="O22" s="111" t="s">
        <v>32</v>
      </c>
      <c r="P22" s="111" t="s">
        <v>32</v>
      </c>
      <c r="Q22" s="111"/>
      <c r="R22" s="111" t="s">
        <v>32</v>
      </c>
      <c r="S22" s="111" t="s">
        <v>32</v>
      </c>
      <c r="T22" s="111" t="s">
        <v>32</v>
      </c>
      <c r="U22" s="111" t="s">
        <v>32</v>
      </c>
      <c r="V22" s="111" t="s">
        <v>32</v>
      </c>
      <c r="W22" s="111" t="s">
        <v>32</v>
      </c>
      <c r="X22" s="111" t="s">
        <v>32</v>
      </c>
      <c r="Y22" s="111" t="s">
        <v>32</v>
      </c>
      <c r="Z22" s="111" t="s">
        <v>32</v>
      </c>
      <c r="AA22" s="111" t="s">
        <v>32</v>
      </c>
      <c r="AB22" s="111" t="s">
        <v>32</v>
      </c>
    </row>
    <row r="23" spans="1:28" ht="22" customHeight="1" x14ac:dyDescent="0.2">
      <c r="A23" s="14" t="s">
        <v>80</v>
      </c>
      <c r="B23" s="47" t="s">
        <v>2</v>
      </c>
      <c r="C23" s="15" t="s">
        <v>3</v>
      </c>
      <c r="D23" s="14" t="s">
        <v>81</v>
      </c>
      <c r="E23" s="13" t="s">
        <v>30</v>
      </c>
      <c r="F23" s="66">
        <v>2.6041666666666665E-3</v>
      </c>
      <c r="G23" s="14" t="s">
        <v>39</v>
      </c>
      <c r="H23" s="14"/>
      <c r="I23" s="14" t="s">
        <v>32</v>
      </c>
      <c r="J23" s="14" t="s">
        <v>33</v>
      </c>
      <c r="K23" s="120"/>
      <c r="L23" s="127"/>
      <c r="M23" s="129"/>
      <c r="N23" s="123"/>
      <c r="O23" s="14"/>
      <c r="P23" s="14" t="s">
        <v>32</v>
      </c>
      <c r="Q23" s="14"/>
      <c r="R23" s="14" t="s">
        <v>32</v>
      </c>
      <c r="S23" s="14" t="s">
        <v>32</v>
      </c>
      <c r="T23" s="14" t="s">
        <v>32</v>
      </c>
      <c r="U23" s="14" t="s">
        <v>32</v>
      </c>
      <c r="V23" s="14" t="s">
        <v>32</v>
      </c>
      <c r="W23" s="14" t="s">
        <v>32</v>
      </c>
      <c r="X23" s="14" t="s">
        <v>32</v>
      </c>
      <c r="Y23" s="14"/>
      <c r="Z23" s="14"/>
      <c r="AA23" s="14"/>
      <c r="AB23" s="14"/>
    </row>
    <row r="24" spans="1:28" ht="22" customHeight="1" x14ac:dyDescent="0.2">
      <c r="A24" s="111" t="s">
        <v>82</v>
      </c>
      <c r="B24" s="112" t="s">
        <v>2</v>
      </c>
      <c r="C24" s="117"/>
      <c r="D24" s="111" t="s">
        <v>83</v>
      </c>
      <c r="E24" s="113" t="s">
        <v>30</v>
      </c>
      <c r="F24" s="114">
        <v>3.8541666666666668E-3</v>
      </c>
      <c r="G24" s="111" t="s">
        <v>36</v>
      </c>
      <c r="H24" s="111"/>
      <c r="I24" s="111" t="s">
        <v>32</v>
      </c>
      <c r="J24" s="111" t="s">
        <v>84</v>
      </c>
      <c r="K24" s="119"/>
      <c r="L24" s="128"/>
      <c r="M24" s="132" t="s">
        <v>32</v>
      </c>
      <c r="N24" s="122"/>
      <c r="O24" s="111"/>
      <c r="P24" s="111" t="s">
        <v>32</v>
      </c>
      <c r="Q24" s="111"/>
      <c r="R24" s="111"/>
      <c r="S24" s="111" t="s">
        <v>32</v>
      </c>
      <c r="T24" s="111" t="s">
        <v>32</v>
      </c>
      <c r="U24" s="111"/>
      <c r="V24" s="111" t="s">
        <v>32</v>
      </c>
      <c r="W24" s="111" t="s">
        <v>32</v>
      </c>
      <c r="X24" s="111" t="s">
        <v>32</v>
      </c>
      <c r="Y24" s="111"/>
      <c r="Z24" s="111" t="s">
        <v>32</v>
      </c>
      <c r="AA24" s="111"/>
      <c r="AB24" s="111"/>
    </row>
    <row r="25" spans="1:28" ht="22" customHeight="1" x14ac:dyDescent="0.2">
      <c r="A25" s="14" t="s">
        <v>85</v>
      </c>
      <c r="B25" s="15" t="s">
        <v>2</v>
      </c>
      <c r="C25" s="15" t="s">
        <v>3</v>
      </c>
      <c r="D25" s="14" t="s">
        <v>86</v>
      </c>
      <c r="E25" s="13" t="s">
        <v>30</v>
      </c>
      <c r="F25" s="66">
        <v>1.9791666666666668E-3</v>
      </c>
      <c r="G25" s="14" t="s">
        <v>48</v>
      </c>
      <c r="H25" s="13" t="s">
        <v>32</v>
      </c>
      <c r="I25" s="14" t="s">
        <v>32</v>
      </c>
      <c r="J25" s="14" t="s">
        <v>37</v>
      </c>
      <c r="K25" s="120"/>
      <c r="L25" s="127" t="s">
        <v>32</v>
      </c>
      <c r="M25" s="129"/>
      <c r="N25" s="12"/>
      <c r="O25" s="14" t="s">
        <v>32</v>
      </c>
      <c r="P25" s="14" t="s">
        <v>32</v>
      </c>
      <c r="Q25" s="14"/>
      <c r="R25" s="14"/>
      <c r="S25" s="14" t="s">
        <v>32</v>
      </c>
      <c r="T25" s="14" t="s">
        <v>32</v>
      </c>
      <c r="U25" s="14"/>
      <c r="V25" s="14" t="s">
        <v>32</v>
      </c>
      <c r="W25" s="14" t="s">
        <v>32</v>
      </c>
      <c r="X25" s="14" t="s">
        <v>32</v>
      </c>
      <c r="Y25" s="14" t="s">
        <v>32</v>
      </c>
      <c r="Z25" s="14" t="s">
        <v>32</v>
      </c>
      <c r="AA25" s="14"/>
      <c r="AB25" s="14"/>
    </row>
    <row r="26" spans="1:28" ht="22" customHeight="1" x14ac:dyDescent="0.2">
      <c r="A26" s="111" t="s">
        <v>87</v>
      </c>
      <c r="B26" s="112" t="s">
        <v>2</v>
      </c>
      <c r="C26" s="112" t="s">
        <v>3</v>
      </c>
      <c r="D26" s="111" t="s">
        <v>88</v>
      </c>
      <c r="E26" s="113" t="s">
        <v>30</v>
      </c>
      <c r="F26" s="114">
        <v>2.650462962962963E-3</v>
      </c>
      <c r="G26" s="111" t="s">
        <v>31</v>
      </c>
      <c r="H26" s="111"/>
      <c r="I26" s="111" t="s">
        <v>32</v>
      </c>
      <c r="J26" s="111" t="s">
        <v>33</v>
      </c>
      <c r="K26" s="119"/>
      <c r="L26" s="128" t="s">
        <v>32</v>
      </c>
      <c r="M26" s="130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spans="1:28" ht="22" customHeight="1" x14ac:dyDescent="0.2">
      <c r="A27" s="14" t="s">
        <v>89</v>
      </c>
      <c r="B27" s="15" t="s">
        <v>2</v>
      </c>
      <c r="C27" s="15" t="s">
        <v>3</v>
      </c>
      <c r="D27" s="14" t="s">
        <v>51</v>
      </c>
      <c r="E27" s="13" t="s">
        <v>30</v>
      </c>
      <c r="F27" s="66">
        <v>3.0439814814814813E-3</v>
      </c>
      <c r="G27" s="14" t="s">
        <v>48</v>
      </c>
      <c r="H27" s="13" t="s">
        <v>32</v>
      </c>
      <c r="I27" s="14" t="s">
        <v>32</v>
      </c>
      <c r="J27" s="14" t="s">
        <v>40</v>
      </c>
      <c r="K27" s="120"/>
      <c r="L27" s="127" t="s">
        <v>32</v>
      </c>
      <c r="M27" s="131"/>
      <c r="N27" s="123"/>
      <c r="O27" s="14"/>
      <c r="P27" s="14" t="s">
        <v>32</v>
      </c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spans="1:28" ht="22" customHeight="1" x14ac:dyDescent="0.2">
      <c r="A28" s="111" t="s">
        <v>90</v>
      </c>
      <c r="B28" s="112" t="s">
        <v>2</v>
      </c>
      <c r="C28" s="112" t="s">
        <v>3</v>
      </c>
      <c r="D28" s="111" t="s">
        <v>91</v>
      </c>
      <c r="E28" s="113" t="s">
        <v>30</v>
      </c>
      <c r="F28" s="114">
        <v>2.8587962962962963E-3</v>
      </c>
      <c r="G28" s="111" t="s">
        <v>36</v>
      </c>
      <c r="H28" s="111"/>
      <c r="I28" s="111" t="s">
        <v>32</v>
      </c>
      <c r="J28" s="111" t="s">
        <v>56</v>
      </c>
      <c r="K28" s="119"/>
      <c r="L28" s="128" t="s">
        <v>32</v>
      </c>
      <c r="M28" s="132" t="s">
        <v>32</v>
      </c>
      <c r="N28" s="122" t="s">
        <v>32</v>
      </c>
      <c r="O28" s="111"/>
      <c r="P28" s="111" t="s">
        <v>32</v>
      </c>
      <c r="Q28" s="111" t="s">
        <v>32</v>
      </c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</row>
    <row r="29" spans="1:28" ht="22" customHeight="1" x14ac:dyDescent="0.2">
      <c r="A29" s="14" t="s">
        <v>92</v>
      </c>
      <c r="B29" s="15" t="s">
        <v>2</v>
      </c>
      <c r="C29" s="15" t="s">
        <v>3</v>
      </c>
      <c r="D29" s="14" t="s">
        <v>93</v>
      </c>
      <c r="E29" s="13" t="s">
        <v>30</v>
      </c>
      <c r="F29" s="66">
        <v>2.0486111111111113E-3</v>
      </c>
      <c r="G29" s="14" t="s">
        <v>36</v>
      </c>
      <c r="H29" s="14"/>
      <c r="I29" s="14" t="s">
        <v>32</v>
      </c>
      <c r="J29" s="14" t="s">
        <v>33</v>
      </c>
      <c r="K29" s="120"/>
      <c r="L29" s="127" t="s">
        <v>32</v>
      </c>
      <c r="M29" s="129"/>
      <c r="N29" s="123"/>
      <c r="O29" s="14"/>
      <c r="P29" s="14" t="s">
        <v>32</v>
      </c>
      <c r="Q29" s="14" t="s">
        <v>32</v>
      </c>
      <c r="R29" s="14"/>
      <c r="S29" s="14" t="s">
        <v>32</v>
      </c>
      <c r="T29" s="14" t="s">
        <v>32</v>
      </c>
      <c r="U29" s="14" t="s">
        <v>32</v>
      </c>
      <c r="V29" s="14" t="s">
        <v>32</v>
      </c>
      <c r="W29" s="14" t="s">
        <v>32</v>
      </c>
      <c r="X29" s="14" t="s">
        <v>32</v>
      </c>
      <c r="Y29" s="14" t="s">
        <v>32</v>
      </c>
      <c r="Z29" s="14" t="s">
        <v>32</v>
      </c>
      <c r="AA29" s="14" t="s">
        <v>32</v>
      </c>
      <c r="AB29" s="14"/>
    </row>
    <row r="30" spans="1:28" ht="22" customHeight="1" x14ac:dyDescent="0.2">
      <c r="A30" s="111" t="s">
        <v>94</v>
      </c>
      <c r="B30" s="112" t="s">
        <v>2</v>
      </c>
      <c r="C30" s="112" t="s">
        <v>3</v>
      </c>
      <c r="D30" s="111" t="s">
        <v>95</v>
      </c>
      <c r="E30" s="113" t="s">
        <v>30</v>
      </c>
      <c r="F30" s="114">
        <v>3.5995370370370369E-3</v>
      </c>
      <c r="G30" s="111" t="s">
        <v>39</v>
      </c>
      <c r="H30" s="111"/>
      <c r="I30" s="111" t="s">
        <v>32</v>
      </c>
      <c r="J30" s="111" t="s">
        <v>33</v>
      </c>
      <c r="K30" s="119"/>
      <c r="L30" s="128" t="s">
        <v>32</v>
      </c>
      <c r="M30" s="132" t="s">
        <v>32</v>
      </c>
      <c r="N30" s="122" t="s">
        <v>32</v>
      </c>
      <c r="O30" s="111" t="s">
        <v>32</v>
      </c>
      <c r="P30" s="111" t="s">
        <v>32</v>
      </c>
      <c r="Q30" s="111" t="s">
        <v>32</v>
      </c>
      <c r="R30" s="111" t="s">
        <v>32</v>
      </c>
      <c r="S30" s="111" t="s">
        <v>32</v>
      </c>
      <c r="T30" s="111" t="s">
        <v>32</v>
      </c>
      <c r="U30" s="111" t="s">
        <v>32</v>
      </c>
      <c r="V30" s="111" t="s">
        <v>32</v>
      </c>
      <c r="W30" s="111" t="s">
        <v>32</v>
      </c>
      <c r="X30" s="111" t="s">
        <v>32</v>
      </c>
      <c r="Y30" s="111" t="s">
        <v>32</v>
      </c>
      <c r="Z30" s="111" t="s">
        <v>32</v>
      </c>
      <c r="AA30" s="111"/>
      <c r="AB30" s="111"/>
    </row>
    <row r="31" spans="1:28" ht="22" customHeight="1" x14ac:dyDescent="0.2">
      <c r="A31" s="14" t="s">
        <v>96</v>
      </c>
      <c r="B31" s="15" t="s">
        <v>2</v>
      </c>
      <c r="C31" s="15" t="s">
        <v>3</v>
      </c>
      <c r="D31" s="14" t="s">
        <v>42</v>
      </c>
      <c r="E31" s="13" t="s">
        <v>30</v>
      </c>
      <c r="F31" s="66">
        <v>1.9675925925925924E-3</v>
      </c>
      <c r="G31" s="14" t="s">
        <v>48</v>
      </c>
      <c r="H31" s="13" t="s">
        <v>32</v>
      </c>
      <c r="I31" s="14"/>
      <c r="J31" s="14" t="s">
        <v>43</v>
      </c>
      <c r="K31" s="120"/>
      <c r="L31" s="127"/>
      <c r="M31" s="129"/>
      <c r="N31" s="123"/>
      <c r="O31" s="14"/>
      <c r="P31" s="14"/>
      <c r="Q31" s="14"/>
      <c r="R31" s="14"/>
      <c r="S31" s="14"/>
      <c r="T31" s="14"/>
      <c r="U31" s="14"/>
      <c r="V31" s="14"/>
      <c r="W31" s="14" t="s">
        <v>32</v>
      </c>
      <c r="X31" s="14"/>
      <c r="Y31" s="14"/>
      <c r="Z31" s="14"/>
      <c r="AA31" s="14"/>
      <c r="AB31" s="14" t="s">
        <v>32</v>
      </c>
    </row>
    <row r="32" spans="1:28" ht="22" customHeight="1" x14ac:dyDescent="0.2">
      <c r="A32" s="111" t="s">
        <v>97</v>
      </c>
      <c r="B32" s="112" t="s">
        <v>2</v>
      </c>
      <c r="C32" s="112" t="s">
        <v>3</v>
      </c>
      <c r="D32" s="111" t="s">
        <v>98</v>
      </c>
      <c r="E32" s="113" t="s">
        <v>30</v>
      </c>
      <c r="F32" s="114">
        <v>3.2291666666666666E-3</v>
      </c>
      <c r="G32" s="111" t="s">
        <v>31</v>
      </c>
      <c r="H32" s="111"/>
      <c r="I32" s="111" t="s">
        <v>32</v>
      </c>
      <c r="J32" s="111" t="s">
        <v>33</v>
      </c>
      <c r="K32" s="119"/>
      <c r="L32" s="128" t="s">
        <v>32</v>
      </c>
      <c r="M32" s="130"/>
      <c r="N32" s="122"/>
      <c r="O32" s="111"/>
      <c r="P32" s="111" t="s">
        <v>32</v>
      </c>
      <c r="Q32" s="111"/>
      <c r="R32" s="111"/>
      <c r="S32" s="111" t="s">
        <v>32</v>
      </c>
      <c r="T32" s="111"/>
      <c r="U32" s="111"/>
      <c r="V32" s="111"/>
      <c r="W32" s="111" t="s">
        <v>32</v>
      </c>
      <c r="X32" s="111" t="s">
        <v>32</v>
      </c>
      <c r="Y32" s="111" t="s">
        <v>32</v>
      </c>
      <c r="Z32" s="111" t="s">
        <v>32</v>
      </c>
      <c r="AA32" s="111"/>
      <c r="AB32" s="111"/>
    </row>
    <row r="33" spans="1:28" ht="22" customHeight="1" x14ac:dyDescent="0.2">
      <c r="A33" s="14" t="s">
        <v>99</v>
      </c>
      <c r="B33" s="15" t="s">
        <v>2</v>
      </c>
      <c r="C33" s="15" t="s">
        <v>3</v>
      </c>
      <c r="D33" s="14" t="s">
        <v>100</v>
      </c>
      <c r="E33" s="13" t="s">
        <v>59</v>
      </c>
      <c r="F33" s="66">
        <v>2.9513888888888888E-3</v>
      </c>
      <c r="G33" s="14" t="s">
        <v>39</v>
      </c>
      <c r="H33" s="14"/>
      <c r="I33" s="14" t="s">
        <v>32</v>
      </c>
      <c r="J33" s="14" t="s">
        <v>69</v>
      </c>
      <c r="K33" s="120"/>
      <c r="L33" s="127" t="s">
        <v>32</v>
      </c>
      <c r="M33" s="131" t="s">
        <v>32</v>
      </c>
      <c r="N33" s="123" t="s">
        <v>32</v>
      </c>
      <c r="O33" s="14" t="s">
        <v>32</v>
      </c>
      <c r="P33" s="14" t="s">
        <v>32</v>
      </c>
      <c r="Q33" s="14" t="s">
        <v>32</v>
      </c>
      <c r="R33" s="14" t="s">
        <v>32</v>
      </c>
      <c r="S33" s="14" t="s">
        <v>32</v>
      </c>
      <c r="T33" s="14" t="s">
        <v>32</v>
      </c>
      <c r="U33" s="14" t="s">
        <v>32</v>
      </c>
      <c r="V33" s="14" t="s">
        <v>32</v>
      </c>
      <c r="W33" s="14" t="s">
        <v>32</v>
      </c>
      <c r="X33" s="14"/>
      <c r="Y33" s="14"/>
      <c r="Z33" s="14"/>
      <c r="AA33" s="14"/>
      <c r="AB33" s="14"/>
    </row>
    <row r="34" spans="1:28" ht="22" customHeight="1" x14ac:dyDescent="0.2">
      <c r="A34" s="111" t="s">
        <v>101</v>
      </c>
      <c r="B34" s="112" t="s">
        <v>2</v>
      </c>
      <c r="C34" s="112" t="s">
        <v>3</v>
      </c>
      <c r="D34" s="111" t="s">
        <v>102</v>
      </c>
      <c r="E34" s="113" t="s">
        <v>30</v>
      </c>
      <c r="F34" s="114">
        <v>4.1319444444444442E-3</v>
      </c>
      <c r="G34" s="111" t="s">
        <v>31</v>
      </c>
      <c r="H34" s="111"/>
      <c r="I34" s="111"/>
      <c r="J34" s="111" t="s">
        <v>33</v>
      </c>
      <c r="K34" s="119"/>
      <c r="L34" s="128"/>
      <c r="M34" s="130"/>
      <c r="N34" s="122"/>
      <c r="O34" s="111"/>
      <c r="P34" s="111" t="s">
        <v>32</v>
      </c>
      <c r="Q34" s="111"/>
      <c r="R34" s="111" t="s">
        <v>32</v>
      </c>
      <c r="S34" s="111" t="s">
        <v>32</v>
      </c>
      <c r="T34" s="111" t="s">
        <v>32</v>
      </c>
      <c r="U34" s="111"/>
      <c r="V34" s="111"/>
      <c r="W34" s="111" t="s">
        <v>32</v>
      </c>
      <c r="X34" s="111" t="s">
        <v>32</v>
      </c>
      <c r="Y34" s="111"/>
      <c r="Z34" s="111" t="s">
        <v>32</v>
      </c>
      <c r="AA34" s="111" t="s">
        <v>32</v>
      </c>
      <c r="AB34" s="111"/>
    </row>
    <row r="35" spans="1:28" ht="22" customHeight="1" x14ac:dyDescent="0.2">
      <c r="A35" s="14" t="s">
        <v>103</v>
      </c>
      <c r="B35" s="15" t="s">
        <v>2</v>
      </c>
      <c r="C35" s="15" t="s">
        <v>3</v>
      </c>
      <c r="D35" s="14" t="s">
        <v>53</v>
      </c>
      <c r="E35" s="13" t="s">
        <v>30</v>
      </c>
      <c r="F35" s="66">
        <v>5.9606481481481481E-3</v>
      </c>
      <c r="G35" s="14" t="s">
        <v>31</v>
      </c>
      <c r="H35" s="14"/>
      <c r="I35" s="14" t="s">
        <v>32</v>
      </c>
      <c r="J35" s="14" t="s">
        <v>56</v>
      </c>
      <c r="K35" s="120"/>
      <c r="L35" s="127" t="s">
        <v>32</v>
      </c>
      <c r="M35" s="129"/>
      <c r="N35" s="123"/>
      <c r="O35" s="14"/>
      <c r="P35" s="14" t="s">
        <v>32</v>
      </c>
      <c r="Q35" s="14"/>
      <c r="R35" s="14"/>
      <c r="S35" s="14" t="s">
        <v>32</v>
      </c>
      <c r="T35" s="14" t="s">
        <v>32</v>
      </c>
      <c r="U35" s="14" t="s">
        <v>32</v>
      </c>
      <c r="V35" s="14"/>
      <c r="W35" s="14" t="s">
        <v>32</v>
      </c>
      <c r="X35" s="14" t="s">
        <v>32</v>
      </c>
      <c r="Y35" s="14"/>
      <c r="Z35" s="14" t="s">
        <v>32</v>
      </c>
      <c r="AA35" s="14" t="s">
        <v>32</v>
      </c>
      <c r="AB35" s="14"/>
    </row>
    <row r="36" spans="1:28" ht="22" customHeight="1" x14ac:dyDescent="0.2">
      <c r="A36" s="111" t="s">
        <v>104</v>
      </c>
      <c r="B36" s="112" t="s">
        <v>2</v>
      </c>
      <c r="C36" s="112" t="s">
        <v>3</v>
      </c>
      <c r="D36" s="111" t="s">
        <v>105</v>
      </c>
      <c r="E36" s="113" t="s">
        <v>30</v>
      </c>
      <c r="F36" s="114">
        <v>2.4305555555555556E-3</v>
      </c>
      <c r="G36" s="111" t="s">
        <v>36</v>
      </c>
      <c r="H36" s="111"/>
      <c r="I36" s="111"/>
      <c r="J36" s="111" t="s">
        <v>40</v>
      </c>
      <c r="K36" s="119"/>
      <c r="L36" s="128"/>
      <c r="M36" s="130"/>
      <c r="N36" s="122" t="s">
        <v>32</v>
      </c>
      <c r="O36" s="111"/>
      <c r="P36" s="111"/>
      <c r="Q36" s="111"/>
      <c r="R36" s="111"/>
      <c r="S36" s="111"/>
      <c r="T36" s="111"/>
      <c r="U36" s="111"/>
      <c r="V36" s="111"/>
      <c r="W36" s="111" t="s">
        <v>32</v>
      </c>
      <c r="X36" s="111" t="s">
        <v>32</v>
      </c>
      <c r="Y36" s="111"/>
      <c r="Z36" s="111"/>
      <c r="AA36" s="111" t="s">
        <v>32</v>
      </c>
      <c r="AB36" s="111"/>
    </row>
    <row r="37" spans="1:28" ht="22" customHeight="1" x14ac:dyDescent="0.2">
      <c r="A37" s="14" t="s">
        <v>106</v>
      </c>
      <c r="B37" s="15" t="s">
        <v>2</v>
      </c>
      <c r="C37" s="15" t="s">
        <v>3</v>
      </c>
      <c r="D37" s="14" t="s">
        <v>107</v>
      </c>
      <c r="E37" s="13" t="s">
        <v>59</v>
      </c>
      <c r="F37" s="66">
        <v>3.3680555555555556E-3</v>
      </c>
      <c r="G37" s="14" t="s">
        <v>36</v>
      </c>
      <c r="H37" s="14"/>
      <c r="I37" s="14" t="s">
        <v>32</v>
      </c>
      <c r="J37" s="14" t="s">
        <v>56</v>
      </c>
      <c r="K37" s="120"/>
      <c r="L37" s="127" t="s">
        <v>32</v>
      </c>
      <c r="M37" s="131" t="s">
        <v>32</v>
      </c>
      <c r="N37" s="123" t="s">
        <v>32</v>
      </c>
      <c r="O37" s="14"/>
      <c r="P37" s="14" t="s">
        <v>32</v>
      </c>
      <c r="Q37" s="14" t="s">
        <v>32</v>
      </c>
      <c r="R37" s="14" t="s">
        <v>32</v>
      </c>
      <c r="S37" s="14" t="s">
        <v>32</v>
      </c>
      <c r="T37" s="14" t="s">
        <v>32</v>
      </c>
      <c r="U37" s="14" t="s">
        <v>32</v>
      </c>
      <c r="V37" s="14"/>
      <c r="W37" s="14"/>
      <c r="X37" s="14"/>
      <c r="Y37" s="14"/>
      <c r="Z37" s="14"/>
      <c r="AA37" s="14"/>
      <c r="AB37" s="14"/>
    </row>
    <row r="38" spans="1:28" ht="22" customHeight="1" x14ac:dyDescent="0.2">
      <c r="A38" s="111" t="s">
        <v>108</v>
      </c>
      <c r="B38" s="112" t="s">
        <v>2</v>
      </c>
      <c r="C38" s="112" t="s">
        <v>3</v>
      </c>
      <c r="D38" s="111" t="s">
        <v>109</v>
      </c>
      <c r="E38" s="113" t="s">
        <v>30</v>
      </c>
      <c r="F38" s="114">
        <v>2.6041666666666665E-3</v>
      </c>
      <c r="G38" s="111" t="s">
        <v>36</v>
      </c>
      <c r="H38" s="111"/>
      <c r="I38" s="111" t="s">
        <v>32</v>
      </c>
      <c r="J38" s="111" t="s">
        <v>40</v>
      </c>
      <c r="K38" s="119"/>
      <c r="L38" s="128" t="s">
        <v>32</v>
      </c>
      <c r="M38" s="132" t="s">
        <v>32</v>
      </c>
      <c r="N38" s="122" t="s">
        <v>32</v>
      </c>
      <c r="O38" s="111" t="s">
        <v>32</v>
      </c>
      <c r="P38" s="111" t="s">
        <v>32</v>
      </c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</row>
    <row r="39" spans="1:28" ht="22" customHeight="1" x14ac:dyDescent="0.2">
      <c r="A39" s="14" t="s">
        <v>110</v>
      </c>
      <c r="B39" s="15" t="s">
        <v>2</v>
      </c>
      <c r="C39" s="15" t="s">
        <v>3</v>
      </c>
      <c r="D39" s="14" t="s">
        <v>111</v>
      </c>
      <c r="E39" s="13" t="s">
        <v>30</v>
      </c>
      <c r="F39" s="66">
        <v>3.472222222222222E-3</v>
      </c>
      <c r="G39" s="14" t="s">
        <v>112</v>
      </c>
      <c r="H39" s="14"/>
      <c r="I39" s="14"/>
      <c r="J39" s="14" t="s">
        <v>43</v>
      </c>
      <c r="K39" s="120"/>
      <c r="L39" s="127"/>
      <c r="M39" s="129"/>
      <c r="N39" s="123"/>
      <c r="O39" s="14"/>
      <c r="P39" s="14"/>
      <c r="Q39" s="14"/>
      <c r="R39" s="14"/>
      <c r="S39" s="14"/>
      <c r="T39" s="14"/>
      <c r="U39" s="14"/>
      <c r="V39" s="14"/>
      <c r="W39" s="14" t="s">
        <v>32</v>
      </c>
      <c r="X39" s="14" t="s">
        <v>32</v>
      </c>
      <c r="Y39" s="14"/>
      <c r="Z39" s="14"/>
      <c r="AA39" s="14"/>
      <c r="AB39" s="14"/>
    </row>
    <row r="40" spans="1:28" ht="22" customHeight="1" x14ac:dyDescent="0.2">
      <c r="A40" s="111" t="s">
        <v>113</v>
      </c>
      <c r="B40" s="112" t="s">
        <v>2</v>
      </c>
      <c r="C40" s="112" t="s">
        <v>3</v>
      </c>
      <c r="D40" s="111" t="s">
        <v>98</v>
      </c>
      <c r="E40" s="113" t="s">
        <v>30</v>
      </c>
      <c r="F40" s="114">
        <v>2.0023148148148148E-3</v>
      </c>
      <c r="G40" s="111" t="s">
        <v>31</v>
      </c>
      <c r="H40" s="111"/>
      <c r="I40" s="111"/>
      <c r="J40" s="111" t="s">
        <v>33</v>
      </c>
      <c r="K40" s="119"/>
      <c r="L40" s="128"/>
      <c r="M40" s="130"/>
      <c r="N40" s="122"/>
      <c r="O40" s="111"/>
      <c r="P40" s="111"/>
      <c r="Q40" s="111" t="s">
        <v>32</v>
      </c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</row>
    <row r="41" spans="1:28" ht="22" customHeight="1" x14ac:dyDescent="0.2">
      <c r="A41" s="14" t="s">
        <v>114</v>
      </c>
      <c r="B41" s="15" t="s">
        <v>2</v>
      </c>
      <c r="C41" s="15" t="s">
        <v>3</v>
      </c>
      <c r="D41" s="14" t="s">
        <v>115</v>
      </c>
      <c r="E41" s="13" t="s">
        <v>30</v>
      </c>
      <c r="F41" s="66">
        <v>3.460648148148148E-3</v>
      </c>
      <c r="G41" s="14" t="s">
        <v>36</v>
      </c>
      <c r="H41" s="14"/>
      <c r="I41" s="14" t="s">
        <v>32</v>
      </c>
      <c r="J41" s="14" t="s">
        <v>69</v>
      </c>
      <c r="K41" s="120"/>
      <c r="L41" s="127"/>
      <c r="M41" s="129"/>
      <c r="N41" s="123"/>
      <c r="O41" s="14"/>
      <c r="P41" s="14" t="s">
        <v>32</v>
      </c>
      <c r="Q41" s="14"/>
      <c r="R41" s="14"/>
      <c r="S41" s="14" t="s">
        <v>32</v>
      </c>
      <c r="T41" s="14" t="s">
        <v>32</v>
      </c>
      <c r="U41" s="14"/>
      <c r="V41" s="14"/>
      <c r="W41" s="14"/>
      <c r="X41" s="14"/>
      <c r="Y41" s="14"/>
      <c r="Z41" s="14"/>
      <c r="AA41" s="14"/>
      <c r="AB41" s="14"/>
    </row>
    <row r="42" spans="1:28" ht="22" customHeight="1" x14ac:dyDescent="0.2">
      <c r="A42" s="111" t="s">
        <v>116</v>
      </c>
      <c r="B42" s="112" t="s">
        <v>2</v>
      </c>
      <c r="C42" s="112" t="s">
        <v>3</v>
      </c>
      <c r="D42" s="111" t="s">
        <v>117</v>
      </c>
      <c r="E42" s="113" t="s">
        <v>30</v>
      </c>
      <c r="F42" s="114">
        <v>2.2569444444444442E-3</v>
      </c>
      <c r="G42" s="111" t="s">
        <v>36</v>
      </c>
      <c r="H42" s="111"/>
      <c r="I42" s="111" t="s">
        <v>32</v>
      </c>
      <c r="J42" s="111" t="s">
        <v>33</v>
      </c>
      <c r="K42" s="119"/>
      <c r="L42" s="128" t="s">
        <v>32</v>
      </c>
      <c r="M42" s="130"/>
      <c r="N42" s="122"/>
      <c r="O42" s="111"/>
      <c r="P42" s="111" t="s">
        <v>32</v>
      </c>
      <c r="Q42" s="111" t="s">
        <v>32</v>
      </c>
      <c r="R42" s="111"/>
      <c r="S42" s="111" t="s">
        <v>32</v>
      </c>
      <c r="T42" s="111" t="s">
        <v>32</v>
      </c>
      <c r="U42" s="111" t="s">
        <v>32</v>
      </c>
      <c r="V42" s="111"/>
      <c r="W42" s="111"/>
      <c r="X42" s="111"/>
      <c r="Y42" s="111"/>
      <c r="Z42" s="111"/>
      <c r="AA42" s="111"/>
      <c r="AB42" s="111"/>
    </row>
    <row r="43" spans="1:28" ht="22" customHeight="1" x14ac:dyDescent="0.2">
      <c r="A43" s="14" t="s">
        <v>118</v>
      </c>
      <c r="B43" s="15" t="s">
        <v>2</v>
      </c>
      <c r="C43" s="15" t="s">
        <v>3</v>
      </c>
      <c r="D43" s="14" t="s">
        <v>119</v>
      </c>
      <c r="E43" s="13" t="s">
        <v>30</v>
      </c>
      <c r="F43" s="66">
        <v>3.472222222222222E-3</v>
      </c>
      <c r="G43" s="14" t="s">
        <v>36</v>
      </c>
      <c r="H43" s="14"/>
      <c r="I43" s="14"/>
      <c r="J43" s="14" t="s">
        <v>43</v>
      </c>
      <c r="K43" s="120"/>
      <c r="L43" s="127"/>
      <c r="M43" s="129"/>
      <c r="N43" s="123"/>
      <c r="O43" s="14"/>
      <c r="P43" s="14" t="s">
        <v>32</v>
      </c>
      <c r="Q43" s="14"/>
      <c r="R43" s="14"/>
      <c r="S43" s="14"/>
      <c r="T43" s="14"/>
      <c r="U43" s="14"/>
      <c r="V43" s="14"/>
      <c r="W43" s="14" t="s">
        <v>32</v>
      </c>
      <c r="X43" s="14"/>
      <c r="Y43" s="14"/>
      <c r="Z43" s="14"/>
      <c r="AA43" s="14"/>
      <c r="AB43" s="14"/>
    </row>
    <row r="44" spans="1:28" ht="22" customHeight="1" x14ac:dyDescent="0.2">
      <c r="A44" s="111" t="s">
        <v>120</v>
      </c>
      <c r="B44" s="112" t="s">
        <v>2</v>
      </c>
      <c r="C44" s="112" t="s">
        <v>3</v>
      </c>
      <c r="D44" s="111" t="s">
        <v>53</v>
      </c>
      <c r="E44" s="113" t="s">
        <v>30</v>
      </c>
      <c r="F44" s="114">
        <v>2.0833333333333333E-3</v>
      </c>
      <c r="G44" s="111" t="s">
        <v>31</v>
      </c>
      <c r="H44" s="111"/>
      <c r="I44" s="111" t="s">
        <v>32</v>
      </c>
      <c r="J44" s="111" t="s">
        <v>33</v>
      </c>
      <c r="K44" s="119"/>
      <c r="L44" s="128" t="s">
        <v>32</v>
      </c>
      <c r="M44" s="130"/>
      <c r="N44" s="122"/>
      <c r="O44" s="111"/>
      <c r="P44" s="111"/>
      <c r="Q44" s="111" t="s">
        <v>32</v>
      </c>
      <c r="R44" s="111" t="s">
        <v>32</v>
      </c>
      <c r="S44" s="111" t="s">
        <v>32</v>
      </c>
      <c r="T44" s="111"/>
      <c r="U44" s="111" t="s">
        <v>32</v>
      </c>
      <c r="V44" s="111"/>
      <c r="W44" s="111"/>
      <c r="X44" s="111"/>
      <c r="Y44" s="111"/>
      <c r="Z44" s="111"/>
      <c r="AA44" s="111"/>
      <c r="AB44" s="111"/>
    </row>
    <row r="45" spans="1:28" ht="22" customHeight="1" x14ac:dyDescent="0.2">
      <c r="A45" s="14" t="s">
        <v>121</v>
      </c>
      <c r="B45" s="15" t="s">
        <v>2</v>
      </c>
      <c r="C45" s="15" t="s">
        <v>3</v>
      </c>
      <c r="D45" s="14" t="s">
        <v>122</v>
      </c>
      <c r="E45" s="13" t="s">
        <v>30</v>
      </c>
      <c r="F45" s="66">
        <v>3.1250000000000002E-3</v>
      </c>
      <c r="G45" s="14" t="s">
        <v>31</v>
      </c>
      <c r="H45" s="14"/>
      <c r="I45" s="14"/>
      <c r="J45" s="14" t="s">
        <v>33</v>
      </c>
      <c r="K45" s="120" t="s">
        <v>32</v>
      </c>
      <c r="L45" s="127"/>
      <c r="M45" s="129"/>
      <c r="N45" s="123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22" customHeight="1" x14ac:dyDescent="0.2">
      <c r="A46" s="111" t="s">
        <v>123</v>
      </c>
      <c r="B46" s="112" t="s">
        <v>2</v>
      </c>
      <c r="C46" s="112" t="s">
        <v>3</v>
      </c>
      <c r="D46" s="111" t="s">
        <v>93</v>
      </c>
      <c r="E46" s="113" t="s">
        <v>30</v>
      </c>
      <c r="F46" s="114">
        <v>3.3217592592592591E-3</v>
      </c>
      <c r="G46" s="111" t="s">
        <v>36</v>
      </c>
      <c r="H46" s="111"/>
      <c r="I46" s="111" t="s">
        <v>32</v>
      </c>
      <c r="J46" s="111" t="s">
        <v>33</v>
      </c>
      <c r="K46" s="119"/>
      <c r="L46" s="128" t="s">
        <v>32</v>
      </c>
      <c r="M46" s="132" t="s">
        <v>32</v>
      </c>
      <c r="N46" s="122" t="s">
        <v>32</v>
      </c>
      <c r="O46" s="111" t="s">
        <v>32</v>
      </c>
      <c r="P46" s="111" t="s">
        <v>32</v>
      </c>
      <c r="Q46" s="111" t="s">
        <v>32</v>
      </c>
      <c r="R46" s="111" t="s">
        <v>32</v>
      </c>
      <c r="S46" s="111" t="s">
        <v>32</v>
      </c>
      <c r="T46" s="111" t="s">
        <v>32</v>
      </c>
      <c r="U46" s="111" t="s">
        <v>32</v>
      </c>
      <c r="V46" s="111" t="s">
        <v>32</v>
      </c>
      <c r="W46" s="111" t="s">
        <v>32</v>
      </c>
      <c r="X46" s="111" t="s">
        <v>32</v>
      </c>
      <c r="Y46" s="111" t="s">
        <v>32</v>
      </c>
      <c r="Z46" s="111" t="s">
        <v>32</v>
      </c>
      <c r="AA46" s="111" t="s">
        <v>32</v>
      </c>
      <c r="AB46" s="111" t="s">
        <v>32</v>
      </c>
    </row>
    <row r="47" spans="1:28" ht="22" customHeight="1" x14ac:dyDescent="0.2">
      <c r="A47" s="14" t="s">
        <v>124</v>
      </c>
      <c r="B47" s="49"/>
      <c r="C47" s="49"/>
      <c r="D47" s="14" t="s">
        <v>125</v>
      </c>
      <c r="E47" s="13" t="s">
        <v>30</v>
      </c>
      <c r="F47" s="66"/>
      <c r="G47" s="14" t="s">
        <v>126</v>
      </c>
      <c r="H47" s="14"/>
      <c r="I47" s="14"/>
      <c r="J47" s="14" t="s">
        <v>33</v>
      </c>
      <c r="K47" s="120"/>
      <c r="L47" s="127"/>
      <c r="M47" s="129"/>
      <c r="N47" s="123"/>
      <c r="O47" s="14"/>
      <c r="P47" s="14"/>
      <c r="Q47" s="14"/>
      <c r="R47" s="14" t="s">
        <v>32</v>
      </c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7" customHeight="1" x14ac:dyDescent="0.2">
      <c r="A48" s="111" t="s">
        <v>127</v>
      </c>
      <c r="B48" s="112" t="s">
        <v>2</v>
      </c>
      <c r="C48" s="112" t="s">
        <v>3</v>
      </c>
      <c r="D48" s="111" t="s">
        <v>128</v>
      </c>
      <c r="E48" s="113" t="s">
        <v>30</v>
      </c>
      <c r="F48" s="114">
        <v>2.0949074074074073E-3</v>
      </c>
      <c r="G48" s="111" t="s">
        <v>31</v>
      </c>
      <c r="H48" s="111"/>
      <c r="I48" s="111" t="s">
        <v>32</v>
      </c>
      <c r="J48" s="111" t="s">
        <v>56</v>
      </c>
      <c r="K48" s="119"/>
      <c r="L48" s="128" t="s">
        <v>32</v>
      </c>
      <c r="M48" s="132" t="s">
        <v>32</v>
      </c>
      <c r="N48" s="122" t="s">
        <v>32</v>
      </c>
      <c r="O48" s="111"/>
      <c r="P48" s="111" t="s">
        <v>32</v>
      </c>
      <c r="Q48" s="111"/>
      <c r="R48" s="111" t="s">
        <v>32</v>
      </c>
      <c r="S48" s="111" t="s">
        <v>32</v>
      </c>
      <c r="T48" s="111"/>
      <c r="U48" s="111"/>
      <c r="V48" s="111"/>
      <c r="W48" s="111" t="s">
        <v>32</v>
      </c>
      <c r="X48" s="111" t="s">
        <v>32</v>
      </c>
      <c r="Y48" s="111"/>
      <c r="Z48" s="111" t="s">
        <v>32</v>
      </c>
      <c r="AA48" s="111" t="s">
        <v>32</v>
      </c>
      <c r="AB48" s="111" t="s">
        <v>32</v>
      </c>
    </row>
    <row r="49" spans="1:28" x14ac:dyDescent="0.2">
      <c r="A49" s="12"/>
      <c r="B49" s="12"/>
      <c r="C49" s="12"/>
      <c r="D49" s="50"/>
      <c r="E49" s="50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</sheetData>
  <hyperlinks>
    <hyperlink ref="M2" location="'2026-05-14 Fat Shallot'!A1" display="2026-05-14_x000a_Fat Shallot" xr:uid="{00000000-0004-0000-0000-000000000000}"/>
    <hyperlink ref="N2" location="'2026-05-02 Lincolnwood'!A1" display="2026-05-02_x000a_Lincolnwood" xr:uid="{00000000-0004-0000-0000-000001000000}"/>
    <hyperlink ref="O2" location="'2026-04-22 Spring Cha Ching'!A1" display="2026-04-22_x000a_Spring Cha Ching" xr:uid="{00000000-0004-0000-0000-000002000000}"/>
    <hyperlink ref="P2" location="'2026-01-24 Goat Village'!A1" display="2026-01-24_x000a_Goat Village" xr:uid="{00000000-0004-0000-0000-000003000000}"/>
    <hyperlink ref="Q2" location="'2025-11-16 Double Clutch'!A1" display="2025-11-16_x000a_Double Clutch" xr:uid="{00000000-0004-0000-0000-000004000000}"/>
    <hyperlink ref="R2" location="'2025-09-06 Block Party'!A1" display="2025-09-06_x000a_Block Party" xr:uid="{00000000-0004-0000-0000-000005000000}"/>
    <hyperlink ref="S2" location="'2025-06-25 American Legion'!A1" display="2025-06-25_x000a_American Legion" xr:uid="{00000000-0004-0000-0000-000006000000}"/>
    <hyperlink ref="T2" location="'2025-06-07 Fat Shallot'!A1" display="2025-06-07_x000a_Fat Shallot" xr:uid="{00000000-0004-0000-0000-000007000000}"/>
    <hyperlink ref="U2" location="'2025-05-03 Lincolnwood'!A1" display="2025-05-03_x000a_Lincolnwood" xr:uid="{00000000-0004-0000-0000-000008000000}"/>
    <hyperlink ref="V2" location="'2024-10-09 Fat Shallot'!A1" display="2024-10-09_x000a_Fat Shallot" xr:uid="{00000000-0004-0000-0000-000009000000}"/>
    <hyperlink ref="W2" location="'2024-09-07 Block Party'!A1" display="2024-09-07_x000a_Block Party" xr:uid="{00000000-0004-0000-0000-00000A000000}"/>
    <hyperlink ref="X2" location="'2024-08-10 Fat Shallot'!A1" display="2024-08-10_x000a_Fat Shallot" xr:uid="{00000000-0004-0000-0000-00000B000000}"/>
    <hyperlink ref="Y2" location="'2024-07-13 Chicago Union'!A1" display="2024-07-13_x000a_Chicago Union" xr:uid="{00000000-0004-0000-0000-00000C000000}"/>
    <hyperlink ref="Z2" location="'2024-06-08 Fat Shallot'!A1" display="2024-06-08_x000a_Fat Shallot" xr:uid="{00000000-0004-0000-0000-00000D000000}"/>
    <hyperlink ref="AA2" location="'2024-04-27 Lincolnwood'!A1" display="2024-04-27_x000a_Lincolnwood" xr:uid="{00000000-0004-0000-0000-00000E000000}"/>
    <hyperlink ref="AB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L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topLeftCell="E1"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 x14ac:dyDescent="0.2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6" bestFit="1" customWidth="1"/>
  </cols>
  <sheetData>
    <row r="1" spans="1:12" s="2" customFormat="1" ht="28" customHeight="1" thickTop="1" thickBot="1" x14ac:dyDescent="0.25">
      <c r="A1" s="51" t="s">
        <v>129</v>
      </c>
      <c r="B1" s="42"/>
      <c r="C1" s="42"/>
      <c r="D1" s="42"/>
      <c r="E1" s="42"/>
      <c r="F1" s="42"/>
      <c r="G1" s="42"/>
      <c r="H1" s="42"/>
      <c r="I1" s="42"/>
      <c r="J1" s="42"/>
      <c r="K1" s="57"/>
      <c r="L1" s="42"/>
    </row>
    <row r="2" spans="1:12" s="2" customFormat="1" ht="22" customHeight="1" thickTop="1" thickBot="1" x14ac:dyDescent="0.25">
      <c r="A2" s="58" t="s">
        <v>130</v>
      </c>
      <c r="B2" s="59" t="s">
        <v>131</v>
      </c>
      <c r="C2" s="58" t="s">
        <v>132</v>
      </c>
      <c r="D2" s="58" t="s">
        <v>133</v>
      </c>
      <c r="E2" s="58" t="s">
        <v>134</v>
      </c>
      <c r="F2" s="59" t="s">
        <v>135</v>
      </c>
      <c r="G2" s="58" t="s">
        <v>136</v>
      </c>
      <c r="H2" s="58" t="s">
        <v>137</v>
      </c>
      <c r="I2" s="58" t="s">
        <v>138</v>
      </c>
      <c r="J2" s="58" t="s">
        <v>139</v>
      </c>
      <c r="K2" s="60" t="s">
        <v>140</v>
      </c>
      <c r="L2" s="58" t="s">
        <v>141</v>
      </c>
    </row>
    <row r="3" spans="1:12" ht="22" customHeight="1" thickTop="1" x14ac:dyDescent="0.25">
      <c r="A3" s="107" t="s">
        <v>142</v>
      </c>
      <c r="B3" s="17" t="s">
        <v>143</v>
      </c>
      <c r="C3" s="13" t="s">
        <v>144</v>
      </c>
      <c r="D3" s="13" t="s">
        <v>145</v>
      </c>
      <c r="E3" s="13">
        <v>10</v>
      </c>
      <c r="F3" s="17"/>
      <c r="G3" s="13"/>
      <c r="H3" s="13"/>
      <c r="I3" s="13"/>
      <c r="J3" s="13"/>
      <c r="K3" s="61"/>
      <c r="L3" s="13"/>
    </row>
    <row r="4" spans="1:12" ht="22" customHeight="1" x14ac:dyDescent="0.25">
      <c r="A4" s="107" t="s">
        <v>146</v>
      </c>
      <c r="B4" s="18" t="s">
        <v>147</v>
      </c>
      <c r="C4" s="14" t="s">
        <v>148</v>
      </c>
      <c r="D4" s="14" t="s">
        <v>149</v>
      </c>
      <c r="E4" s="14">
        <v>11</v>
      </c>
      <c r="F4" s="18"/>
      <c r="G4" s="14"/>
      <c r="H4" s="14"/>
      <c r="I4" s="14"/>
      <c r="J4" s="14"/>
      <c r="K4" s="62"/>
      <c r="L4" s="14"/>
    </row>
    <row r="5" spans="1:12" ht="22" customHeight="1" x14ac:dyDescent="0.25">
      <c r="A5" s="107" t="s">
        <v>150</v>
      </c>
      <c r="B5" s="18" t="s">
        <v>147</v>
      </c>
      <c r="C5" s="14" t="s">
        <v>151</v>
      </c>
      <c r="D5" s="14"/>
      <c r="E5" s="14">
        <v>16</v>
      </c>
      <c r="F5" s="18"/>
      <c r="G5" s="14" t="s">
        <v>151</v>
      </c>
      <c r="H5" s="14" t="s">
        <v>152</v>
      </c>
      <c r="I5" s="14"/>
      <c r="J5" s="14"/>
      <c r="K5" s="62"/>
      <c r="L5" s="14"/>
    </row>
    <row r="6" spans="1:12" ht="22" customHeight="1" x14ac:dyDescent="0.25">
      <c r="A6" s="107" t="s">
        <v>153</v>
      </c>
      <c r="B6" s="18" t="s">
        <v>147</v>
      </c>
      <c r="C6" s="14" t="s">
        <v>154</v>
      </c>
      <c r="D6" s="14" t="s">
        <v>155</v>
      </c>
      <c r="E6" s="14">
        <v>11</v>
      </c>
      <c r="F6" s="18"/>
      <c r="G6" s="14" t="s">
        <v>156</v>
      </c>
      <c r="H6" s="14" t="s">
        <v>157</v>
      </c>
      <c r="I6" s="14"/>
      <c r="J6" s="14"/>
      <c r="K6" s="62">
        <v>100</v>
      </c>
      <c r="L6" s="14"/>
    </row>
    <row r="7" spans="1:12" ht="22" customHeight="1" x14ac:dyDescent="0.25">
      <c r="A7" s="107" t="s">
        <v>158</v>
      </c>
      <c r="B7" s="18" t="s">
        <v>147</v>
      </c>
      <c r="C7" s="14" t="s">
        <v>151</v>
      </c>
      <c r="D7" s="14"/>
      <c r="E7" s="14">
        <v>21</v>
      </c>
      <c r="F7" s="18"/>
      <c r="G7" s="14" t="s">
        <v>151</v>
      </c>
      <c r="H7" s="14" t="s">
        <v>152</v>
      </c>
      <c r="I7" s="14"/>
      <c r="J7" s="14"/>
      <c r="K7" s="62"/>
      <c r="L7" s="14"/>
    </row>
    <row r="8" spans="1:12" ht="22" customHeight="1" x14ac:dyDescent="0.25">
      <c r="A8" s="107" t="s">
        <v>159</v>
      </c>
      <c r="B8" s="18" t="s">
        <v>143</v>
      </c>
      <c r="C8" s="14" t="s">
        <v>144</v>
      </c>
      <c r="D8" s="14" t="s">
        <v>145</v>
      </c>
      <c r="E8" s="14">
        <v>26</v>
      </c>
      <c r="F8" s="18"/>
      <c r="G8" s="14"/>
      <c r="H8" s="14"/>
      <c r="I8" s="14"/>
      <c r="J8" s="14"/>
      <c r="K8" s="62"/>
      <c r="L8" s="14"/>
    </row>
    <row r="9" spans="1:12" ht="22" customHeight="1" x14ac:dyDescent="0.25">
      <c r="A9" s="107" t="s">
        <v>160</v>
      </c>
      <c r="B9" s="18" t="s">
        <v>147</v>
      </c>
      <c r="C9" s="14" t="s">
        <v>151</v>
      </c>
      <c r="D9" s="14" t="s">
        <v>161</v>
      </c>
      <c r="E9" s="14">
        <v>11</v>
      </c>
      <c r="F9" s="18"/>
      <c r="G9" s="14" t="s">
        <v>151</v>
      </c>
      <c r="H9" s="14" t="s">
        <v>152</v>
      </c>
      <c r="I9" s="14"/>
      <c r="J9" s="14"/>
      <c r="K9" s="62"/>
      <c r="L9" s="14"/>
    </row>
    <row r="10" spans="1:12" ht="22" customHeight="1" x14ac:dyDescent="0.25">
      <c r="A10" s="107" t="s">
        <v>162</v>
      </c>
      <c r="B10" s="18" t="s">
        <v>147</v>
      </c>
      <c r="C10" s="14" t="s">
        <v>148</v>
      </c>
      <c r="D10" s="14" t="s">
        <v>149</v>
      </c>
      <c r="E10" s="14">
        <v>13</v>
      </c>
      <c r="F10" s="18"/>
      <c r="G10" s="14"/>
      <c r="H10" s="14"/>
      <c r="I10" s="14"/>
      <c r="J10" s="14"/>
      <c r="K10" s="62"/>
      <c r="L10" s="14"/>
    </row>
    <row r="11" spans="1:12" ht="22" customHeight="1" x14ac:dyDescent="0.25">
      <c r="A11" s="107" t="s">
        <v>163</v>
      </c>
      <c r="B11" s="18" t="s">
        <v>147</v>
      </c>
      <c r="C11" s="14" t="s">
        <v>151</v>
      </c>
      <c r="D11" s="14"/>
      <c r="E11" s="14">
        <v>19</v>
      </c>
      <c r="F11" s="18"/>
      <c r="G11" s="14" t="s">
        <v>151</v>
      </c>
      <c r="H11" s="14" t="s">
        <v>152</v>
      </c>
      <c r="I11" s="14"/>
      <c r="J11" s="14"/>
      <c r="K11" s="62"/>
      <c r="L11" s="14"/>
    </row>
    <row r="12" spans="1:12" ht="22" customHeight="1" x14ac:dyDescent="0.25">
      <c r="A12" s="107" t="s">
        <v>164</v>
      </c>
      <c r="B12" s="18" t="s">
        <v>147</v>
      </c>
      <c r="C12" s="14" t="s">
        <v>165</v>
      </c>
      <c r="D12" s="14"/>
      <c r="E12" s="14">
        <v>28</v>
      </c>
      <c r="F12" s="18"/>
      <c r="G12" s="14"/>
      <c r="H12" s="14"/>
      <c r="I12" s="14"/>
      <c r="J12" s="14"/>
      <c r="K12" s="62"/>
      <c r="L12" s="14"/>
    </row>
    <row r="13" spans="1:12" ht="22" customHeight="1" x14ac:dyDescent="0.25">
      <c r="A13" s="107" t="s">
        <v>166</v>
      </c>
      <c r="B13" s="18" t="s">
        <v>143</v>
      </c>
      <c r="C13" s="14" t="s">
        <v>144</v>
      </c>
      <c r="D13" s="14" t="s">
        <v>145</v>
      </c>
      <c r="E13" s="14">
        <v>14</v>
      </c>
      <c r="F13" s="18"/>
      <c r="G13" s="14"/>
      <c r="H13" s="14"/>
      <c r="I13" s="14"/>
      <c r="J13" s="14"/>
      <c r="K13" s="62"/>
      <c r="L13" s="14"/>
    </row>
    <row r="14" spans="1:12" ht="22" customHeight="1" x14ac:dyDescent="0.2">
      <c r="A14" s="108" t="s">
        <v>167</v>
      </c>
      <c r="B14" s="18"/>
      <c r="C14" s="14" t="s">
        <v>168</v>
      </c>
      <c r="D14" s="14"/>
      <c r="E14" s="14"/>
      <c r="F14" s="18"/>
      <c r="G14" s="14" t="s">
        <v>169</v>
      </c>
      <c r="H14" s="14" t="s">
        <v>170</v>
      </c>
      <c r="I14" s="14"/>
      <c r="J14" s="14"/>
      <c r="K14" s="62"/>
      <c r="L14" s="14" t="s">
        <v>171</v>
      </c>
    </row>
    <row r="15" spans="1:12" ht="22" customHeight="1" x14ac:dyDescent="0.25">
      <c r="A15" s="107" t="s">
        <v>172</v>
      </c>
      <c r="B15" s="18" t="s">
        <v>173</v>
      </c>
      <c r="C15" s="14" t="s">
        <v>174</v>
      </c>
      <c r="D15" s="14" t="s">
        <v>175</v>
      </c>
      <c r="E15" s="14">
        <v>13</v>
      </c>
      <c r="F15" s="18">
        <v>60</v>
      </c>
      <c r="G15" s="14" t="s">
        <v>176</v>
      </c>
      <c r="H15" s="14" t="s">
        <v>177</v>
      </c>
      <c r="I15" s="14" t="s">
        <v>178</v>
      </c>
      <c r="J15" s="14" t="s">
        <v>179</v>
      </c>
      <c r="K15" s="62"/>
      <c r="L15" s="14"/>
    </row>
    <row r="16" spans="1:12" ht="22" customHeight="1" x14ac:dyDescent="0.25">
      <c r="A16" s="107" t="s">
        <v>180</v>
      </c>
      <c r="B16" s="18" t="s">
        <v>173</v>
      </c>
      <c r="C16" s="14" t="s">
        <v>181</v>
      </c>
      <c r="D16" s="14"/>
      <c r="E16" s="14">
        <v>31</v>
      </c>
      <c r="F16" s="18"/>
      <c r="G16" s="14" t="s">
        <v>181</v>
      </c>
      <c r="H16" s="14" t="s">
        <v>182</v>
      </c>
      <c r="I16" s="14"/>
      <c r="J16" s="14"/>
      <c r="K16" s="62"/>
      <c r="L16" s="14"/>
    </row>
    <row r="17" spans="1:12" ht="22" customHeight="1" x14ac:dyDescent="0.25">
      <c r="A17" s="107" t="s">
        <v>183</v>
      </c>
      <c r="B17" s="18" t="s">
        <v>147</v>
      </c>
      <c r="C17" s="14" t="s">
        <v>165</v>
      </c>
      <c r="D17" s="14" t="s">
        <v>184</v>
      </c>
      <c r="E17" s="14">
        <v>10</v>
      </c>
      <c r="F17" s="18">
        <v>45</v>
      </c>
      <c r="G17" s="14"/>
      <c r="H17" s="14"/>
      <c r="I17" s="14"/>
      <c r="J17" s="14"/>
      <c r="K17" s="62"/>
      <c r="L17" s="14"/>
    </row>
    <row r="18" spans="1:12" ht="22" customHeight="1" x14ac:dyDescent="0.25">
      <c r="A18" s="107" t="s">
        <v>185</v>
      </c>
      <c r="B18" s="18" t="s">
        <v>147</v>
      </c>
      <c r="C18" s="14" t="s">
        <v>148</v>
      </c>
      <c r="D18" s="14" t="s">
        <v>149</v>
      </c>
      <c r="E18" s="14">
        <v>16</v>
      </c>
      <c r="F18" s="18">
        <v>75</v>
      </c>
      <c r="G18" s="14"/>
      <c r="H18" s="14"/>
      <c r="I18" s="14"/>
      <c r="J18" s="14"/>
      <c r="K18" s="62"/>
      <c r="L18" s="14"/>
    </row>
    <row r="19" spans="1:12" ht="22" customHeight="1" x14ac:dyDescent="0.25">
      <c r="A19" s="107" t="s">
        <v>186</v>
      </c>
      <c r="B19" s="18" t="s">
        <v>187</v>
      </c>
      <c r="C19" s="14" t="s">
        <v>151</v>
      </c>
      <c r="D19" s="14" t="s">
        <v>161</v>
      </c>
      <c r="E19" s="14">
        <v>16</v>
      </c>
      <c r="F19" s="18">
        <v>75</v>
      </c>
      <c r="G19" s="14" t="s">
        <v>151</v>
      </c>
      <c r="H19" s="14" t="s">
        <v>152</v>
      </c>
      <c r="I19" s="14" t="s">
        <v>188</v>
      </c>
      <c r="J19" s="14" t="s">
        <v>189</v>
      </c>
      <c r="K19" s="62"/>
      <c r="L19" s="14"/>
    </row>
    <row r="20" spans="1:12" ht="22" customHeight="1" x14ac:dyDescent="0.25">
      <c r="A20" s="107" t="s">
        <v>190</v>
      </c>
      <c r="B20" s="18" t="s">
        <v>173</v>
      </c>
      <c r="C20" s="14" t="s">
        <v>151</v>
      </c>
      <c r="D20" s="14" t="s">
        <v>191</v>
      </c>
      <c r="E20" s="14"/>
      <c r="F20" s="18">
        <v>120</v>
      </c>
      <c r="G20" s="14" t="s">
        <v>151</v>
      </c>
      <c r="H20" s="14" t="s">
        <v>152</v>
      </c>
      <c r="I20" s="14" t="s">
        <v>192</v>
      </c>
      <c r="J20" s="14" t="s">
        <v>193</v>
      </c>
      <c r="K20" s="62">
        <v>250</v>
      </c>
      <c r="L20" s="14"/>
    </row>
    <row r="21" spans="1:12" ht="22" customHeight="1" x14ac:dyDescent="0.25">
      <c r="A21" s="109">
        <v>46194</v>
      </c>
      <c r="B21" s="79">
        <v>0.70833333333333337</v>
      </c>
      <c r="C21" s="14" t="s">
        <v>154</v>
      </c>
      <c r="D21" s="14" t="s">
        <v>155</v>
      </c>
      <c r="E21" s="14"/>
      <c r="F21" s="18"/>
      <c r="G21" s="14" t="s">
        <v>156</v>
      </c>
      <c r="H21" s="14" t="s">
        <v>157</v>
      </c>
      <c r="I21" s="14"/>
      <c r="J21" s="14"/>
      <c r="K21" s="62"/>
      <c r="L21" s="14"/>
    </row>
    <row r="22" spans="1:12" ht="22" customHeight="1" x14ac:dyDescent="0.25">
      <c r="A22" s="109">
        <v>46197</v>
      </c>
      <c r="B22" s="79">
        <v>0.75</v>
      </c>
      <c r="C22" s="14" t="s">
        <v>194</v>
      </c>
      <c r="D22" s="14"/>
      <c r="E22" s="14"/>
      <c r="F22" s="18"/>
      <c r="G22" s="14" t="s">
        <v>195</v>
      </c>
      <c r="H22" s="14" t="s">
        <v>196</v>
      </c>
      <c r="I22" s="14"/>
      <c r="J22" s="14"/>
      <c r="K22" s="62"/>
      <c r="L22" s="14"/>
    </row>
    <row r="23" spans="1:12" ht="22" customHeight="1" x14ac:dyDescent="0.2">
      <c r="A23" s="110"/>
    </row>
    <row r="24" spans="1:12" x14ac:dyDescent="0.2">
      <c r="A24" s="1"/>
    </row>
    <row r="25" spans="1:12" x14ac:dyDescent="0.2">
      <c r="A25" s="1"/>
    </row>
    <row r="26" spans="1:12" x14ac:dyDescent="0.2">
      <c r="A26" s="1"/>
    </row>
    <row r="27" spans="1:12" x14ac:dyDescent="0.2">
      <c r="A27" s="1"/>
    </row>
    <row r="28" spans="1:12" x14ac:dyDescent="0.2">
      <c r="A28" s="1"/>
    </row>
    <row r="29" spans="1:12" x14ac:dyDescent="0.2">
      <c r="A29" s="1"/>
    </row>
    <row r="30" spans="1:12" x14ac:dyDescent="0.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abSelected="1" topLeftCell="D1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 x14ac:dyDescent="0.2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11" customFormat="1" ht="28" customHeight="1" thickTop="1" thickBot="1" x14ac:dyDescent="0.3">
      <c r="A1" s="51" t="s">
        <v>197</v>
      </c>
      <c r="B1" s="52"/>
      <c r="C1" s="52"/>
      <c r="D1" s="52"/>
      <c r="E1" s="52"/>
      <c r="F1" s="52"/>
      <c r="G1" s="52"/>
      <c r="H1" s="52"/>
    </row>
    <row r="2" spans="1:8" s="11" customFormat="1" ht="28" customHeight="1" thickTop="1" thickBot="1" x14ac:dyDescent="0.3">
      <c r="A2" s="51" t="s">
        <v>198</v>
      </c>
      <c r="B2" s="53" t="s">
        <v>199</v>
      </c>
      <c r="C2" s="53" t="s">
        <v>200</v>
      </c>
      <c r="D2" s="53" t="s">
        <v>201</v>
      </c>
      <c r="E2" s="53" t="s">
        <v>202</v>
      </c>
      <c r="F2" s="53" t="s">
        <v>203</v>
      </c>
      <c r="G2" s="53"/>
      <c r="H2" s="53"/>
    </row>
    <row r="3" spans="1:8" ht="20" customHeight="1" thickTop="1" x14ac:dyDescent="0.25">
      <c r="A3" s="13" t="s">
        <v>204</v>
      </c>
      <c r="B3" s="13" t="s">
        <v>53</v>
      </c>
      <c r="C3" s="13" t="s">
        <v>39</v>
      </c>
      <c r="D3" s="13" t="s">
        <v>33</v>
      </c>
      <c r="E3" s="13" t="s">
        <v>205</v>
      </c>
      <c r="F3" s="16" t="s">
        <v>206</v>
      </c>
      <c r="G3" s="16"/>
      <c r="H3" s="16"/>
    </row>
    <row r="4" spans="1:8" ht="20" customHeight="1" x14ac:dyDescent="0.25">
      <c r="A4" s="14" t="s">
        <v>207</v>
      </c>
      <c r="B4" s="14" t="s">
        <v>208</v>
      </c>
      <c r="C4" s="14" t="s">
        <v>274</v>
      </c>
      <c r="D4" s="14" t="s">
        <v>40</v>
      </c>
      <c r="E4" s="14" t="s">
        <v>209</v>
      </c>
      <c r="F4" s="16" t="s">
        <v>210</v>
      </c>
      <c r="G4" s="16"/>
      <c r="H4" s="16"/>
    </row>
    <row r="5" spans="1:8" ht="20" customHeight="1" x14ac:dyDescent="0.25">
      <c r="A5" s="14" t="s">
        <v>211</v>
      </c>
      <c r="B5" s="14" t="s">
        <v>212</v>
      </c>
      <c r="C5" s="14" t="s">
        <v>36</v>
      </c>
      <c r="D5" s="14" t="s">
        <v>69</v>
      </c>
      <c r="E5" s="14"/>
      <c r="F5" s="16" t="s">
        <v>213</v>
      </c>
      <c r="G5" s="16"/>
      <c r="H5" s="16"/>
    </row>
    <row r="6" spans="1:8" ht="20" customHeight="1" x14ac:dyDescent="0.25">
      <c r="A6" s="14" t="s">
        <v>214</v>
      </c>
      <c r="B6" s="14" t="s">
        <v>215</v>
      </c>
      <c r="C6" s="14" t="s">
        <v>36</v>
      </c>
      <c r="D6" s="14" t="s">
        <v>40</v>
      </c>
      <c r="E6" s="14" t="s">
        <v>216</v>
      </c>
      <c r="F6" s="16" t="s">
        <v>217</v>
      </c>
      <c r="G6" s="16"/>
      <c r="H6" s="16"/>
    </row>
    <row r="7" spans="1:8" ht="17" customHeight="1" x14ac:dyDescent="0.25">
      <c r="A7" s="16" t="s">
        <v>218</v>
      </c>
      <c r="B7" s="16" t="s">
        <v>219</v>
      </c>
      <c r="C7" s="16" t="s">
        <v>48</v>
      </c>
      <c r="D7" s="16"/>
      <c r="E7" s="16"/>
      <c r="F7" s="16" t="s">
        <v>220</v>
      </c>
      <c r="G7" s="16"/>
      <c r="H7" s="16"/>
    </row>
    <row r="8" spans="1:8" ht="17" customHeight="1" x14ac:dyDescent="0.25">
      <c r="A8" s="7" t="s">
        <v>272</v>
      </c>
      <c r="B8" s="7" t="s">
        <v>273</v>
      </c>
      <c r="C8" s="7" t="s">
        <v>48</v>
      </c>
      <c r="D8" s="7"/>
      <c r="E8" s="7"/>
      <c r="F8" s="7"/>
      <c r="G8" s="7"/>
      <c r="H8" s="7"/>
    </row>
    <row r="9" spans="1:8" ht="17" customHeight="1" x14ac:dyDescent="0.25">
      <c r="A9" s="7"/>
      <c r="B9" s="7"/>
      <c r="C9" s="7"/>
      <c r="D9" s="7"/>
      <c r="E9" s="7"/>
      <c r="F9" s="7"/>
      <c r="G9" s="7"/>
      <c r="H9" s="7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 x14ac:dyDescent="0.2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 x14ac:dyDescent="0.25">
      <c r="A1" s="54" t="s">
        <v>221</v>
      </c>
      <c r="B1" s="55"/>
      <c r="C1" s="55"/>
      <c r="D1" s="55"/>
      <c r="E1" s="55"/>
      <c r="F1" s="55"/>
      <c r="G1" s="55"/>
    </row>
    <row r="2" spans="1:7" s="4" customFormat="1" ht="22" customHeight="1" thickTop="1" thickBot="1" x14ac:dyDescent="0.25">
      <c r="A2" s="56" t="s">
        <v>132</v>
      </c>
      <c r="B2" s="56" t="s">
        <v>222</v>
      </c>
      <c r="C2" s="56" t="s">
        <v>223</v>
      </c>
      <c r="D2" s="56" t="s">
        <v>224</v>
      </c>
      <c r="E2" s="56" t="s">
        <v>225</v>
      </c>
      <c r="F2" s="56" t="s">
        <v>226</v>
      </c>
      <c r="G2" s="56" t="s">
        <v>141</v>
      </c>
    </row>
    <row r="3" spans="1:7" ht="22" customHeight="1" thickTop="1" x14ac:dyDescent="0.2">
      <c r="A3" s="13" t="s">
        <v>227</v>
      </c>
      <c r="B3" s="13" t="s">
        <v>228</v>
      </c>
      <c r="C3" s="13" t="s">
        <v>229</v>
      </c>
      <c r="D3" s="13" t="s">
        <v>230</v>
      </c>
      <c r="E3" s="13"/>
      <c r="F3" s="13" t="s">
        <v>231</v>
      </c>
      <c r="G3" s="13" t="s">
        <v>232</v>
      </c>
    </row>
    <row r="4" spans="1:7" ht="22" customHeight="1" x14ac:dyDescent="0.2">
      <c r="A4" s="14" t="s">
        <v>233</v>
      </c>
      <c r="B4" s="14" t="s">
        <v>234</v>
      </c>
      <c r="C4" s="14" t="s">
        <v>235</v>
      </c>
      <c r="D4" s="14" t="s">
        <v>236</v>
      </c>
      <c r="E4" s="14" t="s">
        <v>166</v>
      </c>
      <c r="F4" s="14" t="s">
        <v>231</v>
      </c>
      <c r="G4" s="14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E5" sqref="E5"/>
    </sheetView>
  </sheetViews>
  <sheetFormatPr baseColWidth="10" defaultColWidth="8.83203125" defaultRowHeight="15" x14ac:dyDescent="0.2"/>
  <cols>
    <col min="1" max="1" width="14" customWidth="1"/>
    <col min="2" max="2" width="32.1640625" bestFit="1" customWidth="1"/>
    <col min="3" max="3" width="14" customWidth="1"/>
    <col min="4" max="4" width="12" customWidth="1"/>
    <col min="5" max="5" width="30" customWidth="1"/>
  </cols>
  <sheetData>
    <row r="1" spans="1:8" s="2" customFormat="1" ht="28" customHeight="1" thickTop="1" thickBot="1" x14ac:dyDescent="0.25">
      <c r="A1" s="40" t="s">
        <v>238</v>
      </c>
      <c r="B1" s="42"/>
      <c r="C1" s="42"/>
      <c r="D1" s="42"/>
      <c r="E1" s="42"/>
      <c r="F1" s="42"/>
      <c r="G1" s="42"/>
      <c r="H1" s="42"/>
    </row>
    <row r="2" spans="1:8" s="2" customFormat="1" ht="22" customHeight="1" thickTop="1" thickBot="1" x14ac:dyDescent="0.25">
      <c r="A2" s="63" t="s">
        <v>130</v>
      </c>
      <c r="B2" s="63" t="s">
        <v>239</v>
      </c>
      <c r="C2" s="63" t="s">
        <v>240</v>
      </c>
      <c r="D2" s="63" t="s">
        <v>241</v>
      </c>
      <c r="E2" s="63" t="s">
        <v>141</v>
      </c>
      <c r="F2" s="42"/>
      <c r="G2" s="42"/>
      <c r="H2" s="42"/>
    </row>
    <row r="3" spans="1:8" ht="18" customHeight="1" thickTop="1" x14ac:dyDescent="0.25">
      <c r="A3" s="64">
        <v>46154</v>
      </c>
      <c r="B3" s="16" t="s">
        <v>242</v>
      </c>
      <c r="C3" s="16" t="s">
        <v>31</v>
      </c>
      <c r="D3" s="65">
        <v>86.99</v>
      </c>
      <c r="E3" s="16" t="s">
        <v>243</v>
      </c>
      <c r="F3" s="16"/>
      <c r="G3" s="16"/>
      <c r="H3" s="16"/>
    </row>
    <row r="4" spans="1:8" ht="17" customHeight="1" x14ac:dyDescent="0.25">
      <c r="A4" s="7"/>
      <c r="B4" s="7"/>
      <c r="C4" s="7"/>
      <c r="D4" s="9"/>
      <c r="E4" s="7"/>
      <c r="F4" s="7"/>
      <c r="G4" s="7"/>
      <c r="H4" s="7"/>
    </row>
    <row r="5" spans="1:8" ht="17" customHeight="1" x14ac:dyDescent="0.25">
      <c r="A5" s="7"/>
      <c r="B5" s="7"/>
      <c r="C5" s="7"/>
      <c r="D5" s="9"/>
      <c r="E5" s="7"/>
      <c r="F5" s="7"/>
      <c r="G5" s="7"/>
      <c r="H5" s="7"/>
    </row>
    <row r="6" spans="1:8" ht="17" customHeight="1" x14ac:dyDescent="0.25">
      <c r="A6" s="7"/>
      <c r="B6" s="7"/>
      <c r="C6" s="7"/>
      <c r="D6" s="9"/>
      <c r="E6" s="7"/>
      <c r="F6" s="7"/>
      <c r="G6" s="7"/>
      <c r="H6" s="7"/>
    </row>
    <row r="7" spans="1:8" ht="17" customHeight="1" x14ac:dyDescent="0.25">
      <c r="A7" s="7"/>
      <c r="B7" s="7"/>
      <c r="C7" s="7"/>
      <c r="D7" s="9"/>
      <c r="E7" s="7"/>
      <c r="F7" s="7"/>
      <c r="G7" s="7"/>
      <c r="H7" s="7"/>
    </row>
    <row r="8" spans="1:8" ht="17" customHeight="1" x14ac:dyDescent="0.25">
      <c r="A8" s="7"/>
      <c r="B8" s="7"/>
      <c r="C8" s="7"/>
      <c r="D8" s="9"/>
      <c r="E8" s="7"/>
      <c r="F8" s="7"/>
      <c r="G8" s="7"/>
      <c r="H8" s="7"/>
    </row>
    <row r="9" spans="1:8" ht="17" customHeight="1" x14ac:dyDescent="0.25">
      <c r="A9" s="7"/>
      <c r="B9" s="7"/>
      <c r="C9" s="7"/>
      <c r="D9" s="9"/>
      <c r="E9" s="7"/>
      <c r="F9" s="7"/>
      <c r="G9" s="7"/>
      <c r="H9" s="7"/>
    </row>
    <row r="10" spans="1:8" ht="17" customHeight="1" x14ac:dyDescent="0.25">
      <c r="A10" s="7"/>
      <c r="B10" s="7"/>
      <c r="C10" s="7"/>
      <c r="D10" s="9"/>
      <c r="E10" s="7"/>
      <c r="F10" s="7"/>
      <c r="G10" s="7"/>
      <c r="H10" s="7"/>
    </row>
    <row r="11" spans="1:8" ht="17" customHeight="1" x14ac:dyDescent="0.25">
      <c r="A11" s="7"/>
      <c r="B11" s="7"/>
      <c r="C11" s="7"/>
      <c r="D11" s="9"/>
      <c r="E11" s="7"/>
      <c r="F11" s="7"/>
      <c r="G11" s="7"/>
      <c r="H11" s="7"/>
    </row>
    <row r="12" spans="1:8" ht="17" customHeight="1" x14ac:dyDescent="0.25">
      <c r="A12" s="7"/>
      <c r="B12" s="7"/>
      <c r="C12" s="7"/>
      <c r="D12" s="9"/>
      <c r="E12" s="7"/>
      <c r="F12" s="7"/>
      <c r="G12" s="7"/>
      <c r="H12" s="7"/>
    </row>
    <row r="13" spans="1:8" ht="17" customHeight="1" x14ac:dyDescent="0.25">
      <c r="A13" s="7"/>
      <c r="B13" s="7"/>
      <c r="C13" s="7"/>
      <c r="D13" s="9"/>
      <c r="E13" s="7"/>
      <c r="F13" s="7"/>
      <c r="G13" s="7"/>
      <c r="H13" s="7"/>
    </row>
    <row r="14" spans="1:8" ht="17" customHeight="1" x14ac:dyDescent="0.25">
      <c r="A14" s="7"/>
      <c r="B14" s="7"/>
      <c r="C14" s="7"/>
      <c r="D14" s="9"/>
      <c r="E14" s="7"/>
      <c r="F14" s="7"/>
      <c r="G14" s="7"/>
      <c r="H14" s="7"/>
    </row>
    <row r="15" spans="1:8" ht="17" customHeight="1" x14ac:dyDescent="0.25">
      <c r="A15" s="7"/>
      <c r="B15" s="7"/>
      <c r="C15" s="7"/>
      <c r="D15" s="9"/>
      <c r="E15" s="7"/>
      <c r="F15" s="7"/>
      <c r="G15" s="7"/>
      <c r="H15" s="7"/>
    </row>
    <row r="16" spans="1:8" ht="17" customHeight="1" x14ac:dyDescent="0.25">
      <c r="A16" s="7"/>
      <c r="B16" s="7"/>
      <c r="C16" s="7"/>
      <c r="D16" s="9"/>
      <c r="E16" s="7"/>
      <c r="F16" s="7"/>
      <c r="G16" s="7"/>
      <c r="H16" s="7"/>
    </row>
    <row r="17" spans="1:8" ht="17" customHeight="1" x14ac:dyDescent="0.25">
      <c r="A17" s="7"/>
      <c r="B17" s="7"/>
      <c r="C17" s="7"/>
      <c r="D17" s="9"/>
      <c r="E17" s="7"/>
      <c r="F17" s="7"/>
      <c r="G17" s="7"/>
      <c r="H17" s="7"/>
    </row>
    <row r="18" spans="1:8" ht="17" customHeight="1" x14ac:dyDescent="0.25">
      <c r="A18" s="7"/>
      <c r="B18" s="7"/>
      <c r="C18" s="7"/>
      <c r="D18" s="9"/>
      <c r="E18" s="7"/>
      <c r="F18" s="7"/>
      <c r="G18" s="7"/>
      <c r="H18" s="7"/>
    </row>
    <row r="19" spans="1:8" ht="17" customHeight="1" x14ac:dyDescent="0.25">
      <c r="A19" s="7"/>
      <c r="B19" s="7"/>
      <c r="C19" s="7"/>
      <c r="D19" s="9"/>
      <c r="E19" s="7"/>
      <c r="F19" s="7"/>
      <c r="G19" s="7"/>
      <c r="H19" s="7"/>
    </row>
    <row r="20" spans="1:8" ht="17" customHeight="1" x14ac:dyDescent="0.25">
      <c r="A20" s="7"/>
      <c r="B20" s="7"/>
      <c r="C20" s="7"/>
      <c r="D20" s="9"/>
      <c r="E20" s="7"/>
      <c r="F20" s="7"/>
      <c r="G20" s="7"/>
      <c r="H20" s="7"/>
    </row>
    <row r="21" spans="1:8" ht="17" customHeight="1" x14ac:dyDescent="0.25">
      <c r="A21" s="7"/>
      <c r="B21" s="7"/>
      <c r="C21" s="7"/>
      <c r="D21" s="9"/>
      <c r="E21" s="7"/>
      <c r="F21" s="7"/>
      <c r="G21" s="7"/>
      <c r="H21" s="7"/>
    </row>
    <row r="22" spans="1:8" ht="17" customHeight="1" x14ac:dyDescent="0.25">
      <c r="A22" s="7"/>
      <c r="B22" s="7"/>
      <c r="C22" s="7"/>
      <c r="D22" s="9"/>
      <c r="E22" s="7"/>
      <c r="F22" s="7"/>
      <c r="G22" s="7"/>
      <c r="H22" s="7"/>
    </row>
    <row r="23" spans="1:8" ht="17" customHeight="1" x14ac:dyDescent="0.25">
      <c r="A23" s="7"/>
      <c r="B23" s="7"/>
      <c r="C23" s="7"/>
      <c r="D23" s="9"/>
      <c r="E23" s="7"/>
      <c r="F23" s="7"/>
      <c r="G23" s="7"/>
      <c r="H23" s="7"/>
    </row>
    <row r="24" spans="1:8" ht="17" customHeight="1" x14ac:dyDescent="0.25">
      <c r="A24" s="7"/>
      <c r="B24" s="7"/>
      <c r="C24" s="7"/>
      <c r="D24" s="9"/>
      <c r="E24" s="7"/>
      <c r="F24" s="7"/>
      <c r="G24" s="7"/>
      <c r="H24" s="7"/>
    </row>
    <row r="25" spans="1:8" ht="17" customHeight="1" x14ac:dyDescent="0.25">
      <c r="A25" s="7"/>
      <c r="B25" s="7"/>
      <c r="C25" s="7"/>
      <c r="D25" s="9"/>
      <c r="E25" s="7"/>
      <c r="F25" s="7"/>
      <c r="G25" s="7"/>
      <c r="H25" s="7"/>
    </row>
    <row r="26" spans="1:8" ht="17" customHeight="1" x14ac:dyDescent="0.25">
      <c r="A26" s="7"/>
      <c r="B26" s="7"/>
      <c r="C26" s="7"/>
      <c r="D26" s="9"/>
      <c r="E26" s="7"/>
      <c r="F26" s="7"/>
      <c r="G26" s="7"/>
      <c r="H26" s="7"/>
    </row>
    <row r="27" spans="1:8" ht="16" customHeight="1" x14ac:dyDescent="0.2">
      <c r="A27" s="8"/>
      <c r="B27" s="8"/>
      <c r="C27" s="8"/>
      <c r="D27" s="10"/>
      <c r="E27" s="8"/>
      <c r="F27" s="8"/>
      <c r="G27" s="8"/>
      <c r="H27" s="8"/>
    </row>
    <row r="28" spans="1:8" x14ac:dyDescent="0.2">
      <c r="D28" s="5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244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x14ac:dyDescent="0.2">
      <c r="A3" s="28"/>
      <c r="B3" s="23"/>
      <c r="C3" s="30"/>
      <c r="D3" s="30"/>
      <c r="E3" s="23"/>
      <c r="F3" s="32"/>
    </row>
    <row r="4" spans="1:6" ht="22" customHeight="1" thickBot="1" x14ac:dyDescent="0.25">
      <c r="A4" s="33"/>
      <c r="B4" s="34" t="s">
        <v>247</v>
      </c>
      <c r="C4" s="35"/>
      <c r="D4" s="35"/>
      <c r="E4" s="34"/>
      <c r="F4" s="36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248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x14ac:dyDescent="0.2">
      <c r="A3" s="28"/>
      <c r="B3" s="23"/>
      <c r="C3" s="30"/>
      <c r="D3" s="30"/>
      <c r="E3" s="23"/>
      <c r="F3" s="32"/>
    </row>
    <row r="4" spans="1:6" ht="22" customHeight="1" thickBot="1" x14ac:dyDescent="0.25">
      <c r="A4" s="33"/>
      <c r="B4" s="34" t="s">
        <v>247</v>
      </c>
      <c r="C4" s="35"/>
      <c r="D4" s="35"/>
      <c r="E4" s="34"/>
      <c r="F4" s="36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3" activePane="bottomLeft" state="frozen"/>
      <selection pane="bottomLeft" activeCell="F30" sqref="A1:F30"/>
    </sheetView>
  </sheetViews>
  <sheetFormatPr baseColWidth="10" defaultColWidth="8.83203125" defaultRowHeight="15" x14ac:dyDescent="0.2"/>
  <cols>
    <col min="1" max="1" width="4.83203125" style="19" customWidth="1"/>
    <col min="2" max="2" width="30.83203125" bestFit="1" customWidth="1"/>
    <col min="3" max="4" width="7.5" style="19" customWidth="1"/>
    <col min="5" max="5" width="9.1640625" bestFit="1" customWidth="1"/>
    <col min="6" max="6" width="11.83203125" style="19" bestFit="1" customWidth="1"/>
  </cols>
  <sheetData>
    <row r="1" spans="1:6" ht="30" customHeight="1" x14ac:dyDescent="0.2">
      <c r="A1" s="137" t="s">
        <v>249</v>
      </c>
      <c r="B1" s="138"/>
      <c r="C1" s="138"/>
      <c r="D1" s="138"/>
      <c r="E1" s="138"/>
      <c r="F1" s="139"/>
    </row>
    <row r="2" spans="1:6" ht="22" customHeight="1" thickBot="1" x14ac:dyDescent="0.25">
      <c r="A2" s="81" t="s">
        <v>245</v>
      </c>
      <c r="B2" s="82" t="s">
        <v>1</v>
      </c>
      <c r="C2" s="82" t="s">
        <v>2</v>
      </c>
      <c r="D2" s="82" t="s">
        <v>3</v>
      </c>
      <c r="E2" s="82" t="s">
        <v>246</v>
      </c>
      <c r="F2" s="83" t="s">
        <v>6</v>
      </c>
    </row>
    <row r="3" spans="1:6" ht="22" customHeight="1" x14ac:dyDescent="0.2">
      <c r="A3" s="84">
        <v>1</v>
      </c>
      <c r="B3" s="85" t="s">
        <v>49</v>
      </c>
      <c r="C3" s="86" t="s">
        <v>2</v>
      </c>
      <c r="D3" s="87" t="s">
        <v>3</v>
      </c>
      <c r="E3" s="85" t="s">
        <v>31</v>
      </c>
      <c r="F3" s="88">
        <v>2.1875000000000002E-3</v>
      </c>
    </row>
    <row r="4" spans="1:6" ht="22" customHeight="1" x14ac:dyDescent="0.2">
      <c r="A4" s="89">
        <v>2</v>
      </c>
      <c r="B4" s="90" t="s">
        <v>116</v>
      </c>
      <c r="C4" s="91" t="s">
        <v>2</v>
      </c>
      <c r="D4" s="92" t="s">
        <v>3</v>
      </c>
      <c r="E4" s="90" t="s">
        <v>36</v>
      </c>
      <c r="F4" s="80">
        <v>2.2569444444444399E-3</v>
      </c>
    </row>
    <row r="5" spans="1:6" ht="22" customHeight="1" x14ac:dyDescent="0.2">
      <c r="A5" s="89">
        <v>3</v>
      </c>
      <c r="B5" s="90" t="s">
        <v>87</v>
      </c>
      <c r="C5" s="91" t="s">
        <v>2</v>
      </c>
      <c r="D5" s="92" t="s">
        <v>3</v>
      </c>
      <c r="E5" s="90" t="s">
        <v>31</v>
      </c>
      <c r="F5" s="80">
        <v>2.6504629629629599E-3</v>
      </c>
    </row>
    <row r="6" spans="1:6" ht="22" customHeight="1" x14ac:dyDescent="0.2">
      <c r="A6" s="89">
        <v>4</v>
      </c>
      <c r="B6" s="90" t="s">
        <v>120</v>
      </c>
      <c r="C6" s="91" t="s">
        <v>2</v>
      </c>
      <c r="D6" s="92" t="s">
        <v>3</v>
      </c>
      <c r="E6" s="90" t="s">
        <v>31</v>
      </c>
      <c r="F6" s="80">
        <v>2.0833333333333298E-3</v>
      </c>
    </row>
    <row r="7" spans="1:6" ht="22" customHeight="1" x14ac:dyDescent="0.2">
      <c r="A7" s="89">
        <v>5</v>
      </c>
      <c r="B7" s="90" t="s">
        <v>92</v>
      </c>
      <c r="C7" s="91" t="s">
        <v>2</v>
      </c>
      <c r="D7" s="92" t="s">
        <v>3</v>
      </c>
      <c r="E7" s="90" t="s">
        <v>36</v>
      </c>
      <c r="F7" s="80">
        <v>2.04861111111111E-3</v>
      </c>
    </row>
    <row r="8" spans="1:6" ht="22" customHeight="1" x14ac:dyDescent="0.2">
      <c r="A8" s="89">
        <v>6</v>
      </c>
      <c r="B8" s="90" t="s">
        <v>44</v>
      </c>
      <c r="C8" s="91" t="s">
        <v>2</v>
      </c>
      <c r="D8" s="92" t="s">
        <v>3</v>
      </c>
      <c r="E8" s="90" t="s">
        <v>31</v>
      </c>
      <c r="F8" s="80">
        <v>3.4143518518518498E-3</v>
      </c>
    </row>
    <row r="9" spans="1:6" ht="22" customHeight="1" x14ac:dyDescent="0.2">
      <c r="A9" s="89">
        <v>7</v>
      </c>
      <c r="B9" s="90" t="s">
        <v>65</v>
      </c>
      <c r="C9" s="91" t="s">
        <v>2</v>
      </c>
      <c r="D9" s="92" t="s">
        <v>3</v>
      </c>
      <c r="E9" s="90" t="s">
        <v>36</v>
      </c>
      <c r="F9" s="80">
        <v>2.48842592592593E-3</v>
      </c>
    </row>
    <row r="10" spans="1:6" ht="22" customHeight="1" x14ac:dyDescent="0.2">
      <c r="A10" s="89">
        <v>8</v>
      </c>
      <c r="B10" s="90" t="s">
        <v>94</v>
      </c>
      <c r="C10" s="91" t="s">
        <v>2</v>
      </c>
      <c r="D10" s="92" t="s">
        <v>3</v>
      </c>
      <c r="E10" s="90" t="s">
        <v>39</v>
      </c>
      <c r="F10" s="80">
        <v>3.59953703703704E-3</v>
      </c>
    </row>
    <row r="11" spans="1:6" ht="22" customHeight="1" x14ac:dyDescent="0.2">
      <c r="A11" s="89">
        <v>9</v>
      </c>
      <c r="B11" s="90" t="s">
        <v>127</v>
      </c>
      <c r="C11" s="91" t="s">
        <v>2</v>
      </c>
      <c r="D11" s="92" t="s">
        <v>3</v>
      </c>
      <c r="E11" s="90" t="s">
        <v>31</v>
      </c>
      <c r="F11" s="80">
        <v>2.0949074074074099E-3</v>
      </c>
    </row>
    <row r="12" spans="1:6" ht="22" customHeight="1" x14ac:dyDescent="0.2">
      <c r="A12" s="89">
        <v>10</v>
      </c>
      <c r="B12" s="90" t="s">
        <v>250</v>
      </c>
      <c r="C12" s="93" t="s">
        <v>2</v>
      </c>
      <c r="D12" s="94" t="s">
        <v>3</v>
      </c>
      <c r="E12" s="90" t="s">
        <v>39</v>
      </c>
      <c r="F12" s="80">
        <v>2.5810185185185198E-3</v>
      </c>
    </row>
    <row r="13" spans="1:6" ht="22" customHeight="1" x14ac:dyDescent="0.2">
      <c r="A13" s="89">
        <v>11</v>
      </c>
      <c r="B13" s="90" t="s">
        <v>90</v>
      </c>
      <c r="C13" s="91" t="s">
        <v>2</v>
      </c>
      <c r="D13" s="92" t="s">
        <v>3</v>
      </c>
      <c r="E13" s="90" t="s">
        <v>36</v>
      </c>
      <c r="F13" s="80">
        <v>2.8587962962962998E-3</v>
      </c>
    </row>
    <row r="14" spans="1:6" ht="22" customHeight="1" x14ac:dyDescent="0.2">
      <c r="A14" s="89">
        <v>12</v>
      </c>
      <c r="B14" s="90" t="s">
        <v>70</v>
      </c>
      <c r="C14" s="91" t="s">
        <v>2</v>
      </c>
      <c r="D14" s="92" t="s">
        <v>3</v>
      </c>
      <c r="E14" s="90" t="s">
        <v>31</v>
      </c>
      <c r="F14" s="80">
        <v>2.4305555555555599E-3</v>
      </c>
    </row>
    <row r="15" spans="1:6" ht="22" customHeight="1" x14ac:dyDescent="0.2">
      <c r="A15" s="89">
        <v>13</v>
      </c>
      <c r="B15" s="90" t="s">
        <v>89</v>
      </c>
      <c r="C15" s="91" t="s">
        <v>2</v>
      </c>
      <c r="D15" s="92" t="s">
        <v>3</v>
      </c>
      <c r="E15" s="90" t="s">
        <v>48</v>
      </c>
      <c r="F15" s="80">
        <v>3.04398148148148E-3</v>
      </c>
    </row>
    <row r="16" spans="1:6" ht="22" customHeight="1" x14ac:dyDescent="0.2">
      <c r="A16" s="89">
        <v>14</v>
      </c>
      <c r="B16" s="90" t="s">
        <v>123</v>
      </c>
      <c r="C16" s="91" t="s">
        <v>2</v>
      </c>
      <c r="D16" s="92" t="s">
        <v>3</v>
      </c>
      <c r="E16" s="90" t="s">
        <v>36</v>
      </c>
      <c r="F16" s="80">
        <v>3.32175925925926E-3</v>
      </c>
    </row>
    <row r="17" spans="1:6" ht="22" customHeight="1" x14ac:dyDescent="0.2">
      <c r="A17" s="140" t="s">
        <v>251</v>
      </c>
      <c r="B17" s="141"/>
      <c r="C17" s="141"/>
      <c r="D17" s="141"/>
      <c r="E17" s="141"/>
      <c r="F17" s="142"/>
    </row>
    <row r="18" spans="1:6" ht="22" customHeight="1" x14ac:dyDescent="0.2">
      <c r="A18" s="89">
        <v>15</v>
      </c>
      <c r="B18" s="90" t="s">
        <v>41</v>
      </c>
      <c r="C18" s="95" t="s">
        <v>2</v>
      </c>
      <c r="D18" s="96" t="s">
        <v>3</v>
      </c>
      <c r="E18" s="90" t="s">
        <v>39</v>
      </c>
      <c r="F18" s="80">
        <v>2.71990740740741E-3</v>
      </c>
    </row>
    <row r="19" spans="1:6" ht="17" customHeight="1" x14ac:dyDescent="0.2">
      <c r="A19" s="97">
        <v>16</v>
      </c>
      <c r="B19" s="90" t="s">
        <v>63</v>
      </c>
      <c r="C19" s="91" t="s">
        <v>2</v>
      </c>
      <c r="D19" s="92" t="s">
        <v>3</v>
      </c>
      <c r="E19" s="90" t="s">
        <v>31</v>
      </c>
      <c r="F19" s="80">
        <v>2.7893518518518502E-3</v>
      </c>
    </row>
    <row r="20" spans="1:6" ht="22" customHeight="1" x14ac:dyDescent="0.2">
      <c r="A20" s="98">
        <v>17</v>
      </c>
      <c r="B20" s="90" t="s">
        <v>106</v>
      </c>
      <c r="C20" s="91" t="s">
        <v>2</v>
      </c>
      <c r="D20" s="92" t="s">
        <v>3</v>
      </c>
      <c r="E20" s="90" t="s">
        <v>36</v>
      </c>
      <c r="F20" s="80">
        <v>3.3680555555555599E-3</v>
      </c>
    </row>
    <row r="21" spans="1:6" ht="17" customHeight="1" x14ac:dyDescent="0.2">
      <c r="A21" s="89">
        <v>18</v>
      </c>
      <c r="B21" s="90" t="s">
        <v>99</v>
      </c>
      <c r="C21" s="91" t="s">
        <v>2</v>
      </c>
      <c r="D21" s="92" t="s">
        <v>3</v>
      </c>
      <c r="E21" s="90" t="s">
        <v>39</v>
      </c>
      <c r="F21" s="80">
        <v>2.9513888888888901E-3</v>
      </c>
    </row>
    <row r="22" spans="1:6" ht="17" customHeight="1" x14ac:dyDescent="0.2">
      <c r="A22" s="89">
        <v>19</v>
      </c>
      <c r="B22" s="90" t="s">
        <v>72</v>
      </c>
      <c r="C22" s="91" t="s">
        <v>2</v>
      </c>
      <c r="D22" s="92" t="s">
        <v>3</v>
      </c>
      <c r="E22" s="90" t="s">
        <v>36</v>
      </c>
      <c r="F22" s="80">
        <v>2.60416666666667E-3</v>
      </c>
    </row>
    <row r="23" spans="1:6" ht="17" customHeight="1" x14ac:dyDescent="0.2">
      <c r="A23" s="89">
        <v>20</v>
      </c>
      <c r="B23" s="90" t="s">
        <v>97</v>
      </c>
      <c r="C23" s="91" t="s">
        <v>2</v>
      </c>
      <c r="D23" s="92" t="s">
        <v>3</v>
      </c>
      <c r="E23" s="90" t="s">
        <v>31</v>
      </c>
      <c r="F23" s="80">
        <v>3.2291666666666701E-3</v>
      </c>
    </row>
    <row r="24" spans="1:6" ht="17" customHeight="1" x14ac:dyDescent="0.2">
      <c r="A24" s="89">
        <v>21</v>
      </c>
      <c r="B24" s="90" t="s">
        <v>54</v>
      </c>
      <c r="C24" s="91" t="s">
        <v>2</v>
      </c>
      <c r="D24" s="92" t="s">
        <v>3</v>
      </c>
      <c r="E24" s="90" t="s">
        <v>39</v>
      </c>
      <c r="F24" s="99">
        <v>2.7430555555555602E-3</v>
      </c>
    </row>
    <row r="25" spans="1:6" ht="17" customHeight="1" x14ac:dyDescent="0.2">
      <c r="A25" s="89">
        <v>22</v>
      </c>
      <c r="B25" s="90" t="s">
        <v>108</v>
      </c>
      <c r="C25" s="91" t="s">
        <v>2</v>
      </c>
      <c r="D25" s="92" t="s">
        <v>3</v>
      </c>
      <c r="E25" s="90" t="s">
        <v>36</v>
      </c>
      <c r="F25" s="80">
        <v>2.60416666666667E-3</v>
      </c>
    </row>
    <row r="26" spans="1:6" ht="17" customHeight="1" x14ac:dyDescent="0.2">
      <c r="A26" s="89">
        <v>23</v>
      </c>
      <c r="B26" s="90" t="s">
        <v>85</v>
      </c>
      <c r="C26" s="91" t="s">
        <v>2</v>
      </c>
      <c r="D26" s="92" t="s">
        <v>3</v>
      </c>
      <c r="E26" s="90" t="s">
        <v>48</v>
      </c>
      <c r="F26" s="80">
        <v>1.9791666666666699E-3</v>
      </c>
    </row>
    <row r="27" spans="1:6" ht="17" customHeight="1" x14ac:dyDescent="0.2">
      <c r="A27" s="89">
        <v>24</v>
      </c>
      <c r="B27" s="90" t="s">
        <v>78</v>
      </c>
      <c r="C27" s="91" t="s">
        <v>2</v>
      </c>
      <c r="D27" s="92" t="s">
        <v>3</v>
      </c>
      <c r="E27" s="90" t="s">
        <v>39</v>
      </c>
      <c r="F27" s="80">
        <v>2.5810185185185198E-3</v>
      </c>
    </row>
    <row r="28" spans="1:6" ht="17" customHeight="1" x14ac:dyDescent="0.2">
      <c r="A28" s="89">
        <v>25</v>
      </c>
      <c r="B28" s="103" t="s">
        <v>74</v>
      </c>
      <c r="C28" s="104" t="s">
        <v>2</v>
      </c>
      <c r="D28" s="105" t="s">
        <v>3</v>
      </c>
      <c r="E28" s="103" t="s">
        <v>39</v>
      </c>
      <c r="F28" s="106">
        <v>4.6874999999999998E-3</v>
      </c>
    </row>
    <row r="29" spans="1:6" ht="17" customHeight="1" thickBot="1" x14ac:dyDescent="0.25">
      <c r="A29" s="89">
        <v>26</v>
      </c>
      <c r="B29" s="90" t="s">
        <v>103</v>
      </c>
      <c r="C29" s="91" t="s">
        <v>2</v>
      </c>
      <c r="D29" s="92" t="s">
        <v>3</v>
      </c>
      <c r="E29" s="90" t="s">
        <v>31</v>
      </c>
      <c r="F29" s="80">
        <v>5.9606481481481498E-3</v>
      </c>
    </row>
    <row r="30" spans="1:6" ht="17" customHeight="1" thickBot="1" x14ac:dyDescent="0.25">
      <c r="A30" s="100"/>
      <c r="B30" s="101" t="s">
        <v>247</v>
      </c>
      <c r="C30" s="101"/>
      <c r="D30" s="101"/>
      <c r="E30" s="101"/>
      <c r="F30" s="10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">
      <c r="A1" s="143" t="s">
        <v>270</v>
      </c>
      <c r="B1" s="144"/>
      <c r="C1" s="144"/>
      <c r="D1" s="144"/>
      <c r="E1" s="144"/>
      <c r="F1" s="145"/>
    </row>
    <row r="2" spans="1:6" ht="22" customHeight="1" x14ac:dyDescent="0.2">
      <c r="A2" s="69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70" t="s">
        <v>6</v>
      </c>
    </row>
    <row r="3" spans="1:6" ht="22" customHeight="1" x14ac:dyDescent="0.2">
      <c r="A3" s="71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72">
        <v>2.1874999999999998E-3</v>
      </c>
    </row>
    <row r="4" spans="1:6" ht="22" customHeight="1" x14ac:dyDescent="0.2">
      <c r="A4" s="71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72">
        <v>2.9513888888888888E-3</v>
      </c>
    </row>
    <row r="5" spans="1:6" ht="22" customHeight="1" x14ac:dyDescent="0.2">
      <c r="A5" s="71">
        <v>3</v>
      </c>
      <c r="B5" s="24" t="s">
        <v>72</v>
      </c>
      <c r="C5" s="37" t="s">
        <v>2</v>
      </c>
      <c r="D5" s="37" t="s">
        <v>3</v>
      </c>
      <c r="E5" s="24" t="s">
        <v>36</v>
      </c>
      <c r="F5" s="72">
        <v>2.6041666666666665E-3</v>
      </c>
    </row>
    <row r="6" spans="1:6" ht="22" customHeight="1" x14ac:dyDescent="0.2">
      <c r="A6" s="71">
        <v>4</v>
      </c>
      <c r="B6" s="24" t="s">
        <v>78</v>
      </c>
      <c r="C6" s="37" t="s">
        <v>2</v>
      </c>
      <c r="D6" s="37" t="s">
        <v>3</v>
      </c>
      <c r="E6" s="24" t="s">
        <v>39</v>
      </c>
      <c r="F6" s="72">
        <v>2.5810185185185185E-3</v>
      </c>
    </row>
    <row r="7" spans="1:6" ht="22" customHeight="1" x14ac:dyDescent="0.2">
      <c r="A7" s="71">
        <v>5</v>
      </c>
      <c r="B7" s="24" t="s">
        <v>70</v>
      </c>
      <c r="C7" s="37" t="s">
        <v>2</v>
      </c>
      <c r="D7" s="37" t="s">
        <v>3</v>
      </c>
      <c r="E7" s="24" t="s">
        <v>31</v>
      </c>
      <c r="F7" s="72">
        <v>2.4305555555555556E-3</v>
      </c>
    </row>
    <row r="8" spans="1:6" ht="22" customHeight="1" x14ac:dyDescent="0.2">
      <c r="A8" s="71">
        <v>6</v>
      </c>
      <c r="B8" s="24" t="s">
        <v>90</v>
      </c>
      <c r="C8" s="37" t="s">
        <v>2</v>
      </c>
      <c r="D8" s="37" t="s">
        <v>3</v>
      </c>
      <c r="E8" s="24" t="s">
        <v>36</v>
      </c>
      <c r="F8" s="72">
        <v>2.8587962962962963E-3</v>
      </c>
    </row>
    <row r="9" spans="1:6" ht="22" customHeight="1" x14ac:dyDescent="0.2">
      <c r="A9" s="71">
        <v>7</v>
      </c>
      <c r="B9" s="24" t="s">
        <v>44</v>
      </c>
      <c r="C9" s="37" t="s">
        <v>2</v>
      </c>
      <c r="D9" s="37" t="s">
        <v>3</v>
      </c>
      <c r="E9" s="24" t="s">
        <v>31</v>
      </c>
      <c r="F9" s="72">
        <v>3.414351851851852E-3</v>
      </c>
    </row>
    <row r="10" spans="1:6" ht="22" customHeight="1" x14ac:dyDescent="0.2">
      <c r="A10" s="71">
        <v>8</v>
      </c>
      <c r="B10" s="24" t="s">
        <v>82</v>
      </c>
      <c r="C10" s="37" t="s">
        <v>2</v>
      </c>
      <c r="D10" s="37"/>
      <c r="E10" s="24" t="s">
        <v>36</v>
      </c>
      <c r="F10" s="72">
        <f>VLOOKUP(B10,'Song Tracker'!$A$3:$F$48,6,FALSE)</f>
        <v>3.8541666666666668E-3</v>
      </c>
    </row>
    <row r="11" spans="1:6" ht="22" customHeight="1" x14ac:dyDescent="0.2">
      <c r="A11" s="71">
        <v>9</v>
      </c>
      <c r="B11" s="24" t="s">
        <v>94</v>
      </c>
      <c r="C11" s="37" t="s">
        <v>2</v>
      </c>
      <c r="D11" s="37" t="s">
        <v>3</v>
      </c>
      <c r="E11" s="24" t="s">
        <v>39</v>
      </c>
      <c r="F11" s="72">
        <v>3.5995370370370369E-3</v>
      </c>
    </row>
    <row r="12" spans="1:6" ht="22" customHeight="1" x14ac:dyDescent="0.2">
      <c r="A12" s="71">
        <v>10</v>
      </c>
      <c r="B12" s="24" t="s">
        <v>63</v>
      </c>
      <c r="C12" s="37" t="s">
        <v>2</v>
      </c>
      <c r="D12" s="37" t="s">
        <v>3</v>
      </c>
      <c r="E12" s="24" t="s">
        <v>31</v>
      </c>
      <c r="F12" s="72">
        <v>2.7893518518518519E-3</v>
      </c>
    </row>
    <row r="13" spans="1:6" ht="22" customHeight="1" x14ac:dyDescent="0.2">
      <c r="A13" s="71">
        <v>11</v>
      </c>
      <c r="B13" s="24" t="s">
        <v>106</v>
      </c>
      <c r="C13" s="37" t="s">
        <v>2</v>
      </c>
      <c r="D13" s="37" t="s">
        <v>3</v>
      </c>
      <c r="E13" s="24" t="s">
        <v>36</v>
      </c>
      <c r="F13" s="72">
        <v>3.3680555555555556E-3</v>
      </c>
    </row>
    <row r="14" spans="1:6" ht="22" customHeight="1" x14ac:dyDescent="0.2">
      <c r="A14" s="71">
        <v>12</v>
      </c>
      <c r="B14" s="24" t="s">
        <v>250</v>
      </c>
      <c r="C14" s="37" t="s">
        <v>2</v>
      </c>
      <c r="D14" s="37" t="s">
        <v>3</v>
      </c>
      <c r="E14" s="24" t="s">
        <v>39</v>
      </c>
      <c r="F14" s="72">
        <v>2.5810185185185185E-3</v>
      </c>
    </row>
    <row r="15" spans="1:6" ht="22" customHeight="1" x14ac:dyDescent="0.2">
      <c r="A15" s="71">
        <v>13</v>
      </c>
      <c r="B15" s="24" t="s">
        <v>108</v>
      </c>
      <c r="C15" s="37" t="s">
        <v>2</v>
      </c>
      <c r="D15" s="37" t="s">
        <v>3</v>
      </c>
      <c r="E15" s="24" t="s">
        <v>36</v>
      </c>
      <c r="F15" s="72">
        <v>2.6041666666666665E-3</v>
      </c>
    </row>
    <row r="16" spans="1:6" ht="22" customHeight="1" x14ac:dyDescent="0.2">
      <c r="A16" s="71">
        <v>14</v>
      </c>
      <c r="B16" s="24" t="s">
        <v>54</v>
      </c>
      <c r="C16" s="37" t="s">
        <v>2</v>
      </c>
      <c r="D16" s="37" t="s">
        <v>3</v>
      </c>
      <c r="E16" s="24" t="s">
        <v>39</v>
      </c>
      <c r="F16" s="72">
        <v>2.7430555555555554E-3</v>
      </c>
    </row>
    <row r="17" spans="1:6" ht="22" customHeight="1" x14ac:dyDescent="0.2">
      <c r="A17" s="71">
        <v>15</v>
      </c>
      <c r="B17" s="24" t="s">
        <v>127</v>
      </c>
      <c r="C17" s="37" t="s">
        <v>2</v>
      </c>
      <c r="D17" s="37" t="s">
        <v>3</v>
      </c>
      <c r="E17" s="24" t="s">
        <v>31</v>
      </c>
      <c r="F17" s="72">
        <v>2.0949074074074073E-3</v>
      </c>
    </row>
    <row r="18" spans="1:6" ht="22" customHeight="1" x14ac:dyDescent="0.2">
      <c r="A18" s="71">
        <v>16</v>
      </c>
      <c r="B18" s="24" t="s">
        <v>123</v>
      </c>
      <c r="C18" s="37" t="s">
        <v>2</v>
      </c>
      <c r="D18" s="37" t="s">
        <v>3</v>
      </c>
      <c r="E18" s="24" t="s">
        <v>36</v>
      </c>
      <c r="F18" s="72">
        <v>3.3217592592592595E-3</v>
      </c>
    </row>
    <row r="19" spans="1:6" x14ac:dyDescent="0.2">
      <c r="A19" s="73"/>
      <c r="B19" s="23"/>
      <c r="C19" s="30"/>
      <c r="D19" s="30"/>
      <c r="E19" s="23"/>
      <c r="F19" s="74"/>
    </row>
    <row r="20" spans="1:6" ht="22" customHeight="1" thickBot="1" x14ac:dyDescent="0.25">
      <c r="A20" s="75"/>
      <c r="B20" s="76" t="s">
        <v>247</v>
      </c>
      <c r="C20" s="77"/>
      <c r="D20" s="77"/>
      <c r="E20" s="76"/>
      <c r="F20" s="7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252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 t="s">
        <v>253</v>
      </c>
      <c r="B3" s="24" t="s">
        <v>104</v>
      </c>
      <c r="C3" s="37" t="s">
        <v>2</v>
      </c>
      <c r="D3" s="37" t="s">
        <v>3</v>
      </c>
      <c r="E3" s="24" t="s">
        <v>36</v>
      </c>
      <c r="F3" s="67">
        <f>VLOOKUP(B3,'Song Tracker'!$A$3:$F$48,6,FALSE)</f>
        <v>2.4305555555555556E-3</v>
      </c>
    </row>
    <row r="4" spans="1:6" ht="22" customHeight="1" x14ac:dyDescent="0.2">
      <c r="A4" s="39">
        <v>1</v>
      </c>
      <c r="B4" s="24" t="s">
        <v>49</v>
      </c>
      <c r="C4" s="37" t="s">
        <v>2</v>
      </c>
      <c r="D4" s="37" t="s">
        <v>3</v>
      </c>
      <c r="E4" s="24" t="s">
        <v>31</v>
      </c>
      <c r="F4" s="67">
        <v>2.1874999999999998E-3</v>
      </c>
    </row>
    <row r="5" spans="1:6" ht="22" customHeight="1" x14ac:dyDescent="0.2">
      <c r="A5" s="39">
        <v>2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3</v>
      </c>
      <c r="B6" s="24" t="s">
        <v>72</v>
      </c>
      <c r="C6" s="37" t="s">
        <v>2</v>
      </c>
      <c r="D6" s="37" t="s">
        <v>3</v>
      </c>
      <c r="E6" s="24" t="s">
        <v>36</v>
      </c>
      <c r="F6" s="67">
        <v>2.6041666666666665E-3</v>
      </c>
    </row>
    <row r="7" spans="1:6" ht="22" customHeight="1" x14ac:dyDescent="0.2">
      <c r="A7" s="39">
        <v>4</v>
      </c>
      <c r="B7" s="24" t="s">
        <v>78</v>
      </c>
      <c r="C7" s="37" t="s">
        <v>2</v>
      </c>
      <c r="D7" s="37" t="s">
        <v>3</v>
      </c>
      <c r="E7" s="24" t="s">
        <v>39</v>
      </c>
      <c r="F7" s="67">
        <v>2.5810185185185185E-3</v>
      </c>
    </row>
    <row r="8" spans="1:6" ht="22" customHeight="1" x14ac:dyDescent="0.2">
      <c r="A8" s="39">
        <v>5</v>
      </c>
      <c r="B8" s="24" t="s">
        <v>70</v>
      </c>
      <c r="C8" s="37" t="s">
        <v>2</v>
      </c>
      <c r="D8" s="37" t="s">
        <v>3</v>
      </c>
      <c r="E8" s="24" t="s">
        <v>31</v>
      </c>
      <c r="F8" s="67">
        <v>2.4305555555555556E-3</v>
      </c>
    </row>
    <row r="9" spans="1:6" ht="22" customHeight="1" x14ac:dyDescent="0.2">
      <c r="A9" s="39">
        <v>6</v>
      </c>
      <c r="B9" s="24" t="s">
        <v>90</v>
      </c>
      <c r="C9" s="37" t="s">
        <v>2</v>
      </c>
      <c r="D9" s="37" t="s">
        <v>3</v>
      </c>
      <c r="E9" s="24" t="s">
        <v>36</v>
      </c>
      <c r="F9" s="67">
        <v>2.8587962962962963E-3</v>
      </c>
    </row>
    <row r="10" spans="1:6" ht="22" customHeight="1" x14ac:dyDescent="0.2">
      <c r="A10" s="39">
        <v>7</v>
      </c>
      <c r="B10" s="24" t="s">
        <v>44</v>
      </c>
      <c r="C10" s="37" t="s">
        <v>2</v>
      </c>
      <c r="D10" s="37" t="s">
        <v>3</v>
      </c>
      <c r="E10" s="24" t="s">
        <v>31</v>
      </c>
      <c r="F10" s="67">
        <v>3.414351851851852E-3</v>
      </c>
    </row>
    <row r="11" spans="1:6" ht="22" customHeight="1" x14ac:dyDescent="0.2">
      <c r="A11" s="39"/>
      <c r="B11" s="24"/>
      <c r="C11" s="37"/>
      <c r="D11" s="37"/>
      <c r="E11" s="24"/>
      <c r="F11" s="67"/>
    </row>
    <row r="12" spans="1:6" ht="22" customHeight="1" x14ac:dyDescent="0.2">
      <c r="A12" s="39">
        <v>9</v>
      </c>
      <c r="B12" s="24" t="s">
        <v>94</v>
      </c>
      <c r="C12" s="37" t="s">
        <v>2</v>
      </c>
      <c r="D12" s="37" t="s">
        <v>3</v>
      </c>
      <c r="E12" s="24" t="s">
        <v>39</v>
      </c>
      <c r="F12" s="67">
        <v>3.5995370370370369E-3</v>
      </c>
    </row>
    <row r="13" spans="1:6" ht="22" customHeight="1" x14ac:dyDescent="0.2">
      <c r="A13" s="39">
        <v>10</v>
      </c>
      <c r="B13" s="24" t="s">
        <v>63</v>
      </c>
      <c r="C13" s="37" t="s">
        <v>2</v>
      </c>
      <c r="D13" s="37" t="s">
        <v>3</v>
      </c>
      <c r="E13" s="24" t="s">
        <v>31</v>
      </c>
      <c r="F13" s="67">
        <v>2.7893518518518519E-3</v>
      </c>
    </row>
    <row r="14" spans="1:6" ht="22" customHeight="1" x14ac:dyDescent="0.2">
      <c r="A14" s="39">
        <v>11</v>
      </c>
      <c r="B14" s="24" t="s">
        <v>106</v>
      </c>
      <c r="C14" s="37" t="s">
        <v>2</v>
      </c>
      <c r="D14" s="37" t="s">
        <v>3</v>
      </c>
      <c r="E14" s="24" t="s">
        <v>36</v>
      </c>
      <c r="F14" s="67">
        <v>3.3680555555555556E-3</v>
      </c>
    </row>
    <row r="15" spans="1:6" ht="22" customHeight="1" x14ac:dyDescent="0.2">
      <c r="A15" s="39">
        <v>12</v>
      </c>
      <c r="B15" s="24" t="s">
        <v>250</v>
      </c>
      <c r="C15" s="37" t="s">
        <v>2</v>
      </c>
      <c r="D15" s="37" t="s">
        <v>3</v>
      </c>
      <c r="E15" s="24" t="s">
        <v>39</v>
      </c>
      <c r="F15" s="67">
        <v>2.5810185185185185E-3</v>
      </c>
    </row>
    <row r="16" spans="1:6" ht="22" customHeight="1" x14ac:dyDescent="0.2">
      <c r="A16" s="39">
        <v>13</v>
      </c>
      <c r="B16" s="24" t="s">
        <v>108</v>
      </c>
      <c r="C16" s="37" t="s">
        <v>2</v>
      </c>
      <c r="D16" s="37" t="s">
        <v>3</v>
      </c>
      <c r="E16" s="24" t="s">
        <v>36</v>
      </c>
      <c r="F16" s="67">
        <v>2.6041666666666665E-3</v>
      </c>
    </row>
    <row r="17" spans="1:6" ht="22" customHeight="1" x14ac:dyDescent="0.2">
      <c r="A17" s="39">
        <v>14</v>
      </c>
      <c r="B17" s="24" t="s">
        <v>54</v>
      </c>
      <c r="C17" s="37" t="s">
        <v>2</v>
      </c>
      <c r="D17" s="37" t="s">
        <v>3</v>
      </c>
      <c r="E17" s="24" t="s">
        <v>39</v>
      </c>
      <c r="F17" s="67">
        <v>2.7430555555555554E-3</v>
      </c>
    </row>
    <row r="18" spans="1:6" ht="22" customHeight="1" x14ac:dyDescent="0.2">
      <c r="A18" s="39">
        <v>15</v>
      </c>
      <c r="B18" s="24" t="s">
        <v>127</v>
      </c>
      <c r="C18" s="37" t="s">
        <v>2</v>
      </c>
      <c r="D18" s="37" t="s">
        <v>3</v>
      </c>
      <c r="E18" s="24" t="s">
        <v>31</v>
      </c>
      <c r="F18" s="67">
        <v>2.0949074074074073E-3</v>
      </c>
    </row>
    <row r="19" spans="1:6" ht="22" customHeight="1" x14ac:dyDescent="0.2">
      <c r="A19" s="39">
        <v>16</v>
      </c>
      <c r="B19" s="24" t="s">
        <v>123</v>
      </c>
      <c r="C19" s="37" t="s">
        <v>2</v>
      </c>
      <c r="D19" s="37" t="s">
        <v>3</v>
      </c>
      <c r="E19" s="24" t="s">
        <v>36</v>
      </c>
      <c r="F19" s="67">
        <v>3.3217592592592595E-3</v>
      </c>
    </row>
    <row r="20" spans="1:6" x14ac:dyDescent="0.2">
      <c r="A20" s="28"/>
      <c r="B20" s="23"/>
      <c r="C20" s="30"/>
      <c r="D20" s="30"/>
      <c r="E20" s="23"/>
      <c r="F20" s="68"/>
    </row>
    <row r="21" spans="1:6" ht="22" customHeight="1" thickBot="1" x14ac:dyDescent="0.25">
      <c r="A21" s="33"/>
      <c r="B21" s="34" t="s">
        <v>247</v>
      </c>
      <c r="C21" s="35"/>
      <c r="D21" s="35"/>
      <c r="E21" s="34"/>
      <c r="F21" s="36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254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67">
        <v>2.9513888888888888E-3</v>
      </c>
    </row>
    <row r="5" spans="1:6" ht="22" customHeight="1" x14ac:dyDescent="0.2">
      <c r="A5" s="39">
        <v>3</v>
      </c>
      <c r="B5" s="24" t="s">
        <v>72</v>
      </c>
      <c r="C5" s="37" t="s">
        <v>2</v>
      </c>
      <c r="D5" s="37" t="s">
        <v>3</v>
      </c>
      <c r="E5" s="24" t="s">
        <v>36</v>
      </c>
      <c r="F5" s="67">
        <v>2.6041666666666665E-3</v>
      </c>
    </row>
    <row r="6" spans="1:6" ht="22" customHeight="1" x14ac:dyDescent="0.2">
      <c r="A6" s="39">
        <v>4</v>
      </c>
      <c r="B6" s="24" t="s">
        <v>78</v>
      </c>
      <c r="C6" s="37" t="s">
        <v>2</v>
      </c>
      <c r="D6" s="37" t="s">
        <v>3</v>
      </c>
      <c r="E6" s="24" t="s">
        <v>39</v>
      </c>
      <c r="F6" s="67">
        <v>2.5810185185185185E-3</v>
      </c>
    </row>
    <row r="7" spans="1:6" ht="22" customHeight="1" x14ac:dyDescent="0.2">
      <c r="A7" s="39">
        <v>5</v>
      </c>
      <c r="B7" s="24" t="s">
        <v>44</v>
      </c>
      <c r="C7" s="37" t="s">
        <v>2</v>
      </c>
      <c r="D7" s="37" t="s">
        <v>3</v>
      </c>
      <c r="E7" s="24" t="s">
        <v>31</v>
      </c>
      <c r="F7" s="67">
        <v>3.414351851851852E-3</v>
      </c>
    </row>
    <row r="8" spans="1:6" ht="22" customHeight="1" x14ac:dyDescent="0.2">
      <c r="A8" s="39">
        <v>6</v>
      </c>
      <c r="B8" s="24" t="s">
        <v>85</v>
      </c>
      <c r="C8" s="37" t="s">
        <v>2</v>
      </c>
      <c r="D8" s="37" t="s">
        <v>3</v>
      </c>
      <c r="E8" s="24" t="s">
        <v>48</v>
      </c>
      <c r="F8" s="67">
        <v>1.9791666666666668E-3</v>
      </c>
    </row>
    <row r="9" spans="1:6" ht="22" customHeight="1" x14ac:dyDescent="0.2">
      <c r="A9" s="39">
        <v>7</v>
      </c>
      <c r="B9" s="24" t="s">
        <v>94</v>
      </c>
      <c r="C9" s="37" t="s">
        <v>2</v>
      </c>
      <c r="D9" s="37" t="s">
        <v>3</v>
      </c>
      <c r="E9" s="24" t="s">
        <v>39</v>
      </c>
      <c r="F9" s="67">
        <v>3.5995370370370369E-3</v>
      </c>
    </row>
    <row r="10" spans="1:6" ht="22" customHeight="1" x14ac:dyDescent="0.2">
      <c r="A10" s="39">
        <v>8</v>
      </c>
      <c r="B10" s="24" t="s">
        <v>108</v>
      </c>
      <c r="C10" s="37" t="s">
        <v>2</v>
      </c>
      <c r="D10" s="37" t="s">
        <v>3</v>
      </c>
      <c r="E10" s="24" t="s">
        <v>36</v>
      </c>
      <c r="F10" s="67">
        <v>2.6041666666666665E-3</v>
      </c>
    </row>
    <row r="11" spans="1:6" ht="22" customHeight="1" x14ac:dyDescent="0.2">
      <c r="A11" s="39">
        <v>9</v>
      </c>
      <c r="B11" s="24" t="s">
        <v>54</v>
      </c>
      <c r="C11" s="37" t="s">
        <v>2</v>
      </c>
      <c r="D11" s="37" t="s">
        <v>3</v>
      </c>
      <c r="E11" s="24" t="s">
        <v>39</v>
      </c>
      <c r="F11" s="67">
        <v>2.7430555555555554E-3</v>
      </c>
    </row>
    <row r="12" spans="1:6" ht="22" customHeight="1" x14ac:dyDescent="0.2">
      <c r="A12" s="39">
        <v>10</v>
      </c>
      <c r="B12" s="24" t="s">
        <v>123</v>
      </c>
      <c r="C12" s="37" t="s">
        <v>2</v>
      </c>
      <c r="D12" s="37" t="s">
        <v>3</v>
      </c>
      <c r="E12" s="24" t="s">
        <v>36</v>
      </c>
      <c r="F12" s="67">
        <v>3.3217592592592595E-3</v>
      </c>
    </row>
    <row r="13" spans="1:6" x14ac:dyDescent="0.2">
      <c r="A13" s="28"/>
      <c r="B13" s="23"/>
      <c r="C13" s="30"/>
      <c r="D13" s="30"/>
      <c r="E13" s="23"/>
      <c r="F13" s="68"/>
    </row>
    <row r="14" spans="1:6" ht="22" customHeight="1" thickBot="1" x14ac:dyDescent="0.25">
      <c r="A14" s="33"/>
      <c r="B14" s="34" t="s">
        <v>247</v>
      </c>
      <c r="C14" s="35"/>
      <c r="D14" s="35"/>
      <c r="E14" s="34"/>
      <c r="F14" s="36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255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65</v>
      </c>
      <c r="C4" s="37" t="s">
        <v>2</v>
      </c>
      <c r="D4" s="37" t="s">
        <v>3</v>
      </c>
      <c r="E4" s="24" t="s">
        <v>36</v>
      </c>
      <c r="F4" s="67">
        <v>2.488425925925926E-3</v>
      </c>
    </row>
    <row r="5" spans="1:6" ht="22" customHeight="1" x14ac:dyDescent="0.2">
      <c r="A5" s="39">
        <v>3</v>
      </c>
      <c r="B5" s="24" t="s">
        <v>97</v>
      </c>
      <c r="C5" s="37" t="s">
        <v>2</v>
      </c>
      <c r="D5" s="37" t="s">
        <v>3</v>
      </c>
      <c r="E5" s="24" t="s">
        <v>31</v>
      </c>
      <c r="F5" s="67">
        <v>3.2291666666666666E-3</v>
      </c>
    </row>
    <row r="6" spans="1:6" ht="22" customHeight="1" x14ac:dyDescent="0.2">
      <c r="A6" s="39">
        <v>4</v>
      </c>
      <c r="B6" s="24" t="s">
        <v>85</v>
      </c>
      <c r="C6" s="37" t="s">
        <v>2</v>
      </c>
      <c r="D6" s="37" t="s">
        <v>3</v>
      </c>
      <c r="E6" s="24" t="s">
        <v>48</v>
      </c>
      <c r="F6" s="67">
        <v>1.9791666666666668E-3</v>
      </c>
    </row>
    <row r="7" spans="1:6" ht="22" customHeight="1" x14ac:dyDescent="0.2">
      <c r="A7" s="39">
        <v>5</v>
      </c>
      <c r="B7" s="24" t="s">
        <v>89</v>
      </c>
      <c r="C7" s="37" t="s">
        <v>2</v>
      </c>
      <c r="D7" s="37" t="s">
        <v>3</v>
      </c>
      <c r="E7" s="24" t="s">
        <v>48</v>
      </c>
      <c r="F7" s="67">
        <v>3.0439814814814817E-3</v>
      </c>
    </row>
    <row r="8" spans="1:6" ht="22" customHeight="1" x14ac:dyDescent="0.2">
      <c r="A8" s="39">
        <v>6</v>
      </c>
      <c r="B8" s="24" t="s">
        <v>54</v>
      </c>
      <c r="C8" s="37" t="s">
        <v>2</v>
      </c>
      <c r="D8" s="37" t="s">
        <v>3</v>
      </c>
      <c r="E8" s="24" t="s">
        <v>39</v>
      </c>
      <c r="F8" s="67">
        <v>2.7430555555555554E-3</v>
      </c>
    </row>
    <row r="9" spans="1:6" ht="22" customHeight="1" x14ac:dyDescent="0.2">
      <c r="A9" s="39">
        <v>7</v>
      </c>
      <c r="B9" s="24" t="s">
        <v>78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72</v>
      </c>
      <c r="C10" s="37" t="s">
        <v>2</v>
      </c>
      <c r="D10" s="37" t="s">
        <v>3</v>
      </c>
      <c r="E10" s="24" t="s">
        <v>36</v>
      </c>
      <c r="F10" s="67">
        <v>2.6041666666666665E-3</v>
      </c>
    </row>
    <row r="11" spans="1:6" ht="22" customHeight="1" x14ac:dyDescent="0.2">
      <c r="A11" s="39">
        <v>9</v>
      </c>
      <c r="B11" s="24" t="s">
        <v>67</v>
      </c>
      <c r="C11" s="37" t="s">
        <v>2</v>
      </c>
      <c r="D11" s="37" t="s">
        <v>3</v>
      </c>
      <c r="E11" s="24" t="s">
        <v>39</v>
      </c>
      <c r="F11" s="67">
        <v>1.9328703703703704E-3</v>
      </c>
    </row>
    <row r="12" spans="1:6" ht="22" customHeight="1" x14ac:dyDescent="0.2">
      <c r="A12" s="39">
        <v>10</v>
      </c>
      <c r="B12" s="24" t="s">
        <v>114</v>
      </c>
      <c r="C12" s="37" t="s">
        <v>2</v>
      </c>
      <c r="D12" s="37" t="s">
        <v>3</v>
      </c>
      <c r="E12" s="24" t="s">
        <v>36</v>
      </c>
      <c r="F12" s="67">
        <v>3.4606481481481485E-3</v>
      </c>
    </row>
    <row r="13" spans="1:6" ht="22" customHeight="1" x14ac:dyDescent="0.2">
      <c r="A13" s="39">
        <v>11</v>
      </c>
      <c r="B13" s="24" t="s">
        <v>94</v>
      </c>
      <c r="C13" s="37" t="s">
        <v>2</v>
      </c>
      <c r="D13" s="37" t="s">
        <v>3</v>
      </c>
      <c r="E13" s="24" t="s">
        <v>39</v>
      </c>
      <c r="F13" s="67">
        <v>3.5995370370370369E-3</v>
      </c>
    </row>
    <row r="14" spans="1:6" ht="22" customHeight="1" x14ac:dyDescent="0.2">
      <c r="A14" s="39">
        <v>12</v>
      </c>
      <c r="B14" s="24" t="s">
        <v>106</v>
      </c>
      <c r="C14" s="37" t="s">
        <v>2</v>
      </c>
      <c r="D14" s="37" t="s">
        <v>3</v>
      </c>
      <c r="E14" s="24" t="s">
        <v>36</v>
      </c>
      <c r="F14" s="67">
        <v>3.3680555555555556E-3</v>
      </c>
    </row>
    <row r="15" spans="1:6" ht="22" customHeight="1" x14ac:dyDescent="0.2">
      <c r="A15" s="39">
        <v>13</v>
      </c>
      <c r="B15" s="24" t="s">
        <v>63</v>
      </c>
      <c r="C15" s="37" t="s">
        <v>2</v>
      </c>
      <c r="D15" s="37" t="s">
        <v>3</v>
      </c>
      <c r="E15" s="24" t="s">
        <v>31</v>
      </c>
      <c r="F15" s="67">
        <v>2.7893518518518519E-3</v>
      </c>
    </row>
    <row r="16" spans="1:6" ht="22" customHeight="1" x14ac:dyDescent="0.2">
      <c r="A16" s="39">
        <v>14</v>
      </c>
      <c r="B16" s="24" t="s">
        <v>108</v>
      </c>
      <c r="C16" s="37" t="s">
        <v>2</v>
      </c>
      <c r="D16" s="37" t="s">
        <v>3</v>
      </c>
      <c r="E16" s="24" t="s">
        <v>36</v>
      </c>
      <c r="F16" s="67">
        <v>2.6041666666666665E-3</v>
      </c>
    </row>
    <row r="17" spans="1:6" ht="22" customHeight="1" x14ac:dyDescent="0.2">
      <c r="A17" s="39">
        <v>15</v>
      </c>
      <c r="B17" s="24" t="s">
        <v>127</v>
      </c>
      <c r="C17" s="37" t="s">
        <v>2</v>
      </c>
      <c r="D17" s="37" t="s">
        <v>3</v>
      </c>
      <c r="E17" s="24" t="s">
        <v>31</v>
      </c>
      <c r="F17" s="67">
        <v>2.0949074074074073E-3</v>
      </c>
    </row>
    <row r="18" spans="1:6" ht="22" customHeight="1" x14ac:dyDescent="0.2">
      <c r="A18" s="39">
        <v>16</v>
      </c>
      <c r="B18" s="24" t="s">
        <v>123</v>
      </c>
      <c r="C18" s="37" t="s">
        <v>2</v>
      </c>
      <c r="D18" s="37" t="s">
        <v>3</v>
      </c>
      <c r="E18" s="24" t="s">
        <v>36</v>
      </c>
      <c r="F18" s="67">
        <v>3.3217592592592595E-3</v>
      </c>
    </row>
    <row r="19" spans="1:6" ht="22" customHeight="1" x14ac:dyDescent="0.2">
      <c r="A19" s="39">
        <v>17</v>
      </c>
      <c r="B19" s="24" t="s">
        <v>116</v>
      </c>
      <c r="C19" s="37" t="s">
        <v>2</v>
      </c>
      <c r="D19" s="37" t="s">
        <v>3</v>
      </c>
      <c r="E19" s="24" t="s">
        <v>36</v>
      </c>
      <c r="F19" s="67">
        <v>2.2569444444444442E-3</v>
      </c>
    </row>
    <row r="20" spans="1:6" ht="22" customHeight="1" x14ac:dyDescent="0.2">
      <c r="A20" s="39">
        <v>18</v>
      </c>
      <c r="B20" s="24" t="s">
        <v>44</v>
      </c>
      <c r="C20" s="37" t="s">
        <v>2</v>
      </c>
      <c r="D20" s="37" t="s">
        <v>3</v>
      </c>
      <c r="E20" s="24" t="s">
        <v>31</v>
      </c>
      <c r="F20" s="67">
        <v>3.414351851851852E-3</v>
      </c>
    </row>
    <row r="21" spans="1:6" ht="22" customHeight="1" x14ac:dyDescent="0.2">
      <c r="A21" s="39">
        <v>19</v>
      </c>
      <c r="B21" s="24" t="s">
        <v>99</v>
      </c>
      <c r="C21" s="37" t="s">
        <v>2</v>
      </c>
      <c r="D21" s="37" t="s">
        <v>3</v>
      </c>
      <c r="E21" s="24" t="s">
        <v>39</v>
      </c>
      <c r="F21" s="67">
        <v>2.9513888888888888E-3</v>
      </c>
    </row>
    <row r="22" spans="1:6" ht="22" customHeight="1" x14ac:dyDescent="0.2">
      <c r="A22" s="39">
        <v>20</v>
      </c>
      <c r="B22" s="24" t="s">
        <v>250</v>
      </c>
      <c r="C22" s="37" t="s">
        <v>2</v>
      </c>
      <c r="D22" s="37" t="s">
        <v>3</v>
      </c>
      <c r="E22" s="24" t="s">
        <v>39</v>
      </c>
      <c r="F22" s="67">
        <v>2.5810185185185185E-3</v>
      </c>
    </row>
    <row r="23" spans="1:6" ht="22" customHeight="1" x14ac:dyDescent="0.2">
      <c r="A23" s="39">
        <v>21</v>
      </c>
      <c r="B23" s="24" t="s">
        <v>82</v>
      </c>
      <c r="C23" s="37" t="s">
        <v>2</v>
      </c>
      <c r="D23" s="38"/>
      <c r="E23" s="24" t="s">
        <v>36</v>
      </c>
      <c r="F23" s="67">
        <v>3.8541666666666663E-3</v>
      </c>
    </row>
    <row r="24" spans="1:6" ht="22" customHeight="1" x14ac:dyDescent="0.2">
      <c r="A24" s="39">
        <v>22</v>
      </c>
      <c r="B24" s="24" t="s">
        <v>101</v>
      </c>
      <c r="C24" s="37" t="s">
        <v>2</v>
      </c>
      <c r="D24" s="37" t="s">
        <v>3</v>
      </c>
      <c r="E24" s="24" t="s">
        <v>31</v>
      </c>
      <c r="F24" s="67">
        <v>4.1319444444444442E-3</v>
      </c>
    </row>
    <row r="25" spans="1:6" ht="22" customHeight="1" x14ac:dyDescent="0.2">
      <c r="A25" s="39">
        <v>23</v>
      </c>
      <c r="B25" s="24" t="s">
        <v>92</v>
      </c>
      <c r="C25" s="37" t="s">
        <v>2</v>
      </c>
      <c r="D25" s="37" t="s">
        <v>3</v>
      </c>
      <c r="E25" s="24" t="s">
        <v>36</v>
      </c>
      <c r="F25" s="67">
        <v>2.0486111111111113E-3</v>
      </c>
    </row>
    <row r="26" spans="1:6" ht="22" customHeight="1" x14ac:dyDescent="0.2">
      <c r="A26" s="39">
        <v>24</v>
      </c>
      <c r="B26" s="24" t="s">
        <v>74</v>
      </c>
      <c r="C26" s="37" t="s">
        <v>2</v>
      </c>
      <c r="D26" s="37" t="s">
        <v>3</v>
      </c>
      <c r="E26" s="24" t="s">
        <v>39</v>
      </c>
      <c r="F26" s="67">
        <v>4.6874999999999998E-3</v>
      </c>
    </row>
    <row r="27" spans="1:6" ht="22" customHeight="1" x14ac:dyDescent="0.2">
      <c r="A27" s="39">
        <v>25</v>
      </c>
      <c r="B27" s="24" t="s">
        <v>46</v>
      </c>
      <c r="C27" s="37" t="s">
        <v>2</v>
      </c>
      <c r="D27" s="37" t="s">
        <v>3</v>
      </c>
      <c r="E27" s="24" t="s">
        <v>48</v>
      </c>
      <c r="F27" s="67">
        <v>1.7476851851851852E-3</v>
      </c>
    </row>
    <row r="28" spans="1:6" ht="22" customHeight="1" x14ac:dyDescent="0.2">
      <c r="A28" s="39">
        <v>26</v>
      </c>
      <c r="B28" s="24" t="s">
        <v>41</v>
      </c>
      <c r="C28" s="37" t="s">
        <v>2</v>
      </c>
      <c r="D28" s="37" t="s">
        <v>3</v>
      </c>
      <c r="E28" s="24" t="s">
        <v>39</v>
      </c>
      <c r="F28" s="67">
        <v>2.7199074074074074E-3</v>
      </c>
    </row>
    <row r="29" spans="1:6" ht="22" customHeight="1" x14ac:dyDescent="0.2">
      <c r="A29" s="39">
        <v>27</v>
      </c>
      <c r="B29" s="24" t="s">
        <v>90</v>
      </c>
      <c r="C29" s="37" t="s">
        <v>2</v>
      </c>
      <c r="D29" s="37" t="s">
        <v>3</v>
      </c>
      <c r="E29" s="24" t="s">
        <v>36</v>
      </c>
      <c r="F29" s="67">
        <v>2.8587962962962963E-3</v>
      </c>
    </row>
    <row r="30" spans="1:6" ht="22" customHeight="1" x14ac:dyDescent="0.2">
      <c r="A30" s="39">
        <v>28</v>
      </c>
      <c r="B30" s="24" t="s">
        <v>80</v>
      </c>
      <c r="C30" s="38"/>
      <c r="D30" s="37" t="s">
        <v>3</v>
      </c>
      <c r="E30" s="24" t="s">
        <v>39</v>
      </c>
      <c r="F30" s="67">
        <f>VLOOKUP(B30,'Song Tracker'!$A$3:$F$48,6,FALSE)</f>
        <v>2.6041666666666665E-3</v>
      </c>
    </row>
    <row r="31" spans="1:6" ht="22" customHeight="1" x14ac:dyDescent="0.2">
      <c r="A31" s="39">
        <v>29</v>
      </c>
      <c r="B31" s="24" t="s">
        <v>103</v>
      </c>
      <c r="C31" s="37" t="s">
        <v>2</v>
      </c>
      <c r="D31" s="37" t="s">
        <v>3</v>
      </c>
      <c r="E31" s="24" t="s">
        <v>31</v>
      </c>
      <c r="F31" s="67">
        <v>5.9606481481481481E-3</v>
      </c>
    </row>
    <row r="32" spans="1:6" ht="22" customHeight="1" x14ac:dyDescent="0.2">
      <c r="A32" s="39">
        <v>30</v>
      </c>
      <c r="B32" s="24" t="s">
        <v>70</v>
      </c>
      <c r="C32" s="37" t="s">
        <v>2</v>
      </c>
      <c r="D32" s="37" t="s">
        <v>3</v>
      </c>
      <c r="E32" s="24" t="s">
        <v>31</v>
      </c>
      <c r="F32" s="67">
        <v>2.4305555555555556E-3</v>
      </c>
    </row>
    <row r="33" spans="1:6" ht="22" customHeight="1" x14ac:dyDescent="0.2">
      <c r="A33" s="39">
        <v>31</v>
      </c>
      <c r="B33" s="24" t="s">
        <v>118</v>
      </c>
      <c r="C33" s="37" t="s">
        <v>2</v>
      </c>
      <c r="D33" s="37" t="s">
        <v>3</v>
      </c>
      <c r="E33" s="24" t="s">
        <v>36</v>
      </c>
      <c r="F33" s="67">
        <f>VLOOKUP(B33,'Song Tracker'!$A$3:$F$48,6,FALSE)</f>
        <v>3.472222222222222E-3</v>
      </c>
    </row>
    <row r="34" spans="1:6" ht="22" customHeight="1" x14ac:dyDescent="0.2">
      <c r="A34" s="28"/>
      <c r="B34" s="23"/>
      <c r="C34" s="30"/>
      <c r="D34" s="30"/>
      <c r="E34" s="23"/>
      <c r="F34" s="68"/>
    </row>
    <row r="35" spans="1:6" ht="22" customHeight="1" thickBot="1" x14ac:dyDescent="0.25">
      <c r="A35" s="33"/>
      <c r="B35" s="34" t="s">
        <v>247</v>
      </c>
      <c r="C35" s="35"/>
      <c r="D35" s="35"/>
      <c r="E35" s="34"/>
      <c r="F35" s="36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256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90</v>
      </c>
      <c r="C3" s="37" t="s">
        <v>2</v>
      </c>
      <c r="D3" s="37" t="s">
        <v>3</v>
      </c>
      <c r="E3" s="24" t="s">
        <v>36</v>
      </c>
      <c r="F3" s="67">
        <v>2.8587962962962963E-3</v>
      </c>
    </row>
    <row r="4" spans="1:6" ht="22" customHeight="1" x14ac:dyDescent="0.2">
      <c r="A4" s="39">
        <v>2</v>
      </c>
      <c r="B4" s="24" t="s">
        <v>49</v>
      </c>
      <c r="C4" s="37" t="s">
        <v>2</v>
      </c>
      <c r="D4" s="37" t="s">
        <v>3</v>
      </c>
      <c r="E4" s="24" t="s">
        <v>31</v>
      </c>
      <c r="F4" s="67">
        <v>2.1874999999999998E-3</v>
      </c>
    </row>
    <row r="5" spans="1:6" ht="22" customHeight="1" x14ac:dyDescent="0.2">
      <c r="A5" s="39">
        <v>3</v>
      </c>
      <c r="B5" s="24" t="s">
        <v>41</v>
      </c>
      <c r="C5" s="37" t="s">
        <v>2</v>
      </c>
      <c r="D5" s="37" t="s">
        <v>3</v>
      </c>
      <c r="E5" s="24" t="s">
        <v>39</v>
      </c>
      <c r="F5" s="67">
        <v>2.7199074074074074E-3</v>
      </c>
    </row>
    <row r="6" spans="1:6" ht="22" customHeight="1" x14ac:dyDescent="0.2">
      <c r="A6" s="39">
        <v>4</v>
      </c>
      <c r="B6" s="24" t="s">
        <v>106</v>
      </c>
      <c r="C6" s="37" t="s">
        <v>2</v>
      </c>
      <c r="D6" s="37" t="s">
        <v>3</v>
      </c>
      <c r="E6" s="24" t="s">
        <v>36</v>
      </c>
      <c r="F6" s="67">
        <v>3.3680555555555556E-3</v>
      </c>
    </row>
    <row r="7" spans="1:6" ht="22" customHeight="1" x14ac:dyDescent="0.2">
      <c r="A7" s="39">
        <v>5</v>
      </c>
      <c r="B7" s="24" t="s">
        <v>113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2.0023148148148148E-3</v>
      </c>
    </row>
    <row r="8" spans="1:6" ht="22" customHeight="1" x14ac:dyDescent="0.2">
      <c r="A8" s="39">
        <v>6</v>
      </c>
      <c r="B8" s="24" t="s">
        <v>99</v>
      </c>
      <c r="C8" s="37" t="s">
        <v>2</v>
      </c>
      <c r="D8" s="37" t="s">
        <v>3</v>
      </c>
      <c r="E8" s="24" t="s">
        <v>39</v>
      </c>
      <c r="F8" s="67">
        <v>2.9513888888888888E-3</v>
      </c>
    </row>
    <row r="9" spans="1:6" ht="22" customHeight="1" x14ac:dyDescent="0.2">
      <c r="A9" s="39">
        <v>7</v>
      </c>
      <c r="B9" s="24" t="s">
        <v>116</v>
      </c>
      <c r="C9" s="37" t="s">
        <v>2</v>
      </c>
      <c r="D9" s="37" t="s">
        <v>3</v>
      </c>
      <c r="E9" s="24" t="s">
        <v>36</v>
      </c>
      <c r="F9" s="67">
        <v>2.2569444444444442E-3</v>
      </c>
    </row>
    <row r="10" spans="1:6" ht="22" customHeight="1" x14ac:dyDescent="0.2">
      <c r="A10" s="39">
        <v>8</v>
      </c>
      <c r="B10" s="24" t="s">
        <v>70</v>
      </c>
      <c r="C10" s="37" t="s">
        <v>2</v>
      </c>
      <c r="D10" s="37" t="s">
        <v>3</v>
      </c>
      <c r="E10" s="24" t="s">
        <v>31</v>
      </c>
      <c r="F10" s="67">
        <v>2.4305555555555556E-3</v>
      </c>
    </row>
    <row r="11" spans="1:6" ht="22" customHeight="1" x14ac:dyDescent="0.2">
      <c r="A11" s="39">
        <v>9</v>
      </c>
      <c r="B11" s="24" t="s">
        <v>94</v>
      </c>
      <c r="C11" s="37" t="s">
        <v>2</v>
      </c>
      <c r="D11" s="37" t="s">
        <v>3</v>
      </c>
      <c r="E11" s="24" t="s">
        <v>39</v>
      </c>
      <c r="F11" s="67">
        <v>3.5995370370370369E-3</v>
      </c>
    </row>
    <row r="12" spans="1:6" ht="22" customHeight="1" x14ac:dyDescent="0.2">
      <c r="A12" s="39">
        <v>10</v>
      </c>
      <c r="B12" s="24" t="s">
        <v>120</v>
      </c>
      <c r="C12" s="37" t="s">
        <v>2</v>
      </c>
      <c r="D12" s="37" t="s">
        <v>3</v>
      </c>
      <c r="E12" s="24" t="s">
        <v>31</v>
      </c>
      <c r="F12" s="67">
        <f>VLOOKUP(B12,'Song Tracker'!$A$3:$F$48,6,FALSE)</f>
        <v>2.0833333333333333E-3</v>
      </c>
    </row>
    <row r="13" spans="1:6" ht="22" customHeight="1" x14ac:dyDescent="0.2">
      <c r="A13" s="39">
        <v>11</v>
      </c>
      <c r="B13" s="24" t="s">
        <v>54</v>
      </c>
      <c r="C13" s="37" t="s">
        <v>2</v>
      </c>
      <c r="D13" s="37" t="s">
        <v>3</v>
      </c>
      <c r="E13" s="24" t="s">
        <v>39</v>
      </c>
      <c r="F13" s="67">
        <v>2.7430555555555554E-3</v>
      </c>
    </row>
    <row r="14" spans="1:6" ht="22" customHeight="1" x14ac:dyDescent="0.2">
      <c r="A14" s="39">
        <v>12</v>
      </c>
      <c r="B14" s="24" t="s">
        <v>92</v>
      </c>
      <c r="C14" s="37" t="s">
        <v>2</v>
      </c>
      <c r="D14" s="37" t="s">
        <v>3</v>
      </c>
      <c r="E14" s="24" t="s">
        <v>36</v>
      </c>
      <c r="F14" s="67">
        <v>2.0486111111111113E-3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x14ac:dyDescent="0.2">
      <c r="A16" s="28"/>
      <c r="B16" s="23"/>
      <c r="C16" s="30"/>
      <c r="D16" s="30"/>
      <c r="E16" s="23"/>
      <c r="F16" s="68"/>
    </row>
    <row r="17" spans="1:6" ht="22" customHeight="1" thickBot="1" x14ac:dyDescent="0.25">
      <c r="A17" s="33"/>
      <c r="B17" s="34" t="s">
        <v>247</v>
      </c>
      <c r="C17" s="35"/>
      <c r="D17" s="35"/>
      <c r="E17" s="34"/>
      <c r="F17" s="36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257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5</v>
      </c>
      <c r="B6" s="24" t="s">
        <v>106</v>
      </c>
      <c r="C6" s="37" t="s">
        <v>2</v>
      </c>
      <c r="D6" s="37" t="s">
        <v>3</v>
      </c>
      <c r="E6" s="24" t="s">
        <v>36</v>
      </c>
      <c r="F6" s="67">
        <v>3.3680555555555556E-3</v>
      </c>
    </row>
    <row r="7" spans="1:6" ht="22" customHeight="1" x14ac:dyDescent="0.2">
      <c r="A7" s="39">
        <v>6</v>
      </c>
      <c r="B7" s="24" t="s">
        <v>28</v>
      </c>
      <c r="C7" s="38"/>
      <c r="D7" s="38"/>
      <c r="E7" s="24" t="s">
        <v>31</v>
      </c>
      <c r="F7" s="67">
        <f>VLOOKUP(B7,'Song Tracker'!$A$3:$F$48,6,FALSE)</f>
        <v>2.7662037037037039E-3</v>
      </c>
    </row>
    <row r="8" spans="1:6" ht="22" customHeight="1" x14ac:dyDescent="0.2">
      <c r="A8" s="39">
        <v>7</v>
      </c>
      <c r="B8" s="24" t="s">
        <v>70</v>
      </c>
      <c r="C8" s="37" t="s">
        <v>2</v>
      </c>
      <c r="D8" s="37" t="s">
        <v>3</v>
      </c>
      <c r="E8" s="24" t="s">
        <v>31</v>
      </c>
      <c r="F8" s="67">
        <v>2.4305555555555556E-3</v>
      </c>
    </row>
    <row r="9" spans="1:6" ht="22" customHeight="1" x14ac:dyDescent="0.2">
      <c r="A9" s="39">
        <v>8</v>
      </c>
      <c r="B9" s="24" t="s">
        <v>127</v>
      </c>
      <c r="C9" s="37" t="s">
        <v>2</v>
      </c>
      <c r="D9" s="37" t="s">
        <v>3</v>
      </c>
      <c r="E9" s="24" t="s">
        <v>31</v>
      </c>
      <c r="F9" s="67">
        <v>2.0949074074074073E-3</v>
      </c>
    </row>
    <row r="10" spans="1:6" ht="22" customHeight="1" x14ac:dyDescent="0.2">
      <c r="A10" s="39">
        <v>9</v>
      </c>
      <c r="B10" s="24" t="s">
        <v>63</v>
      </c>
      <c r="C10" s="37" t="s">
        <v>2</v>
      </c>
      <c r="D10" s="37" t="s">
        <v>3</v>
      </c>
      <c r="E10" s="24" t="s">
        <v>31</v>
      </c>
      <c r="F10" s="67">
        <v>2.7893518518518519E-3</v>
      </c>
    </row>
    <row r="11" spans="1:6" ht="22" customHeight="1" x14ac:dyDescent="0.2">
      <c r="A11" s="39">
        <v>10</v>
      </c>
      <c r="B11" s="24" t="s">
        <v>94</v>
      </c>
      <c r="C11" s="37" t="s">
        <v>2</v>
      </c>
      <c r="D11" s="37" t="s">
        <v>3</v>
      </c>
      <c r="E11" s="24" t="s">
        <v>39</v>
      </c>
      <c r="F11" s="67">
        <v>3.5995370370370369E-3</v>
      </c>
    </row>
    <row r="12" spans="1:6" ht="22" customHeight="1" x14ac:dyDescent="0.2">
      <c r="A12" s="39">
        <v>11</v>
      </c>
      <c r="B12" s="24" t="s">
        <v>80</v>
      </c>
      <c r="C12" s="38"/>
      <c r="D12" s="37" t="s">
        <v>3</v>
      </c>
      <c r="E12" s="24" t="s">
        <v>39</v>
      </c>
      <c r="F12" s="67">
        <f>VLOOKUP(B12,'Song Tracker'!$A$3:$F$48,6,FALSE)</f>
        <v>2.6041666666666665E-3</v>
      </c>
    </row>
    <row r="13" spans="1:6" ht="22" customHeight="1" x14ac:dyDescent="0.2">
      <c r="A13" s="39">
        <v>12</v>
      </c>
      <c r="B13" s="24" t="s">
        <v>101</v>
      </c>
      <c r="C13" s="37" t="s">
        <v>2</v>
      </c>
      <c r="D13" s="37" t="s">
        <v>3</v>
      </c>
      <c r="E13" s="24" t="s">
        <v>31</v>
      </c>
      <c r="F13" s="67">
        <v>4.1319444444444442E-3</v>
      </c>
    </row>
    <row r="14" spans="1:6" ht="22" customHeight="1" x14ac:dyDescent="0.2">
      <c r="A14" s="39">
        <v>13</v>
      </c>
      <c r="B14" s="24" t="s">
        <v>120</v>
      </c>
      <c r="C14" s="37" t="s">
        <v>2</v>
      </c>
      <c r="D14" s="37" t="s">
        <v>3</v>
      </c>
      <c r="E14" s="24" t="s">
        <v>31</v>
      </c>
      <c r="F14" s="67">
        <f>VLOOKUP(B14,'Song Tracker'!$A$3:$F$48,6,FALSE)</f>
        <v>2.0833333333333333E-3</v>
      </c>
    </row>
    <row r="15" spans="1:6" ht="22" customHeight="1" x14ac:dyDescent="0.2">
      <c r="A15" s="39">
        <v>14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>
        <v>15</v>
      </c>
      <c r="B16" s="24" t="s">
        <v>124</v>
      </c>
      <c r="C16" s="38"/>
      <c r="D16" s="38"/>
      <c r="E16" s="24" t="s">
        <v>126</v>
      </c>
      <c r="F16" s="67"/>
    </row>
    <row r="17" spans="1:6" x14ac:dyDescent="0.2">
      <c r="A17" s="28"/>
      <c r="B17" s="23"/>
      <c r="C17" s="30"/>
      <c r="D17" s="30"/>
      <c r="E17" s="23"/>
      <c r="F17" s="68"/>
    </row>
    <row r="18" spans="1:6" ht="22" customHeight="1" thickBot="1" x14ac:dyDescent="0.25">
      <c r="A18" s="33"/>
      <c r="B18" s="34" t="s">
        <v>247</v>
      </c>
      <c r="C18" s="35"/>
      <c r="D18" s="35"/>
      <c r="E18" s="34"/>
      <c r="F18" s="36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258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106</v>
      </c>
      <c r="C7" s="37" t="s">
        <v>2</v>
      </c>
      <c r="D7" s="37" t="s">
        <v>3</v>
      </c>
      <c r="E7" s="24" t="s">
        <v>36</v>
      </c>
      <c r="F7" s="67">
        <v>3.3680555555555556E-3</v>
      </c>
    </row>
    <row r="8" spans="1:6" ht="22" customHeight="1" x14ac:dyDescent="0.2">
      <c r="A8" s="39">
        <v>6</v>
      </c>
      <c r="B8" s="24" t="s">
        <v>114</v>
      </c>
      <c r="C8" s="37" t="s">
        <v>2</v>
      </c>
      <c r="D8" s="37" t="s">
        <v>3</v>
      </c>
      <c r="E8" s="24" t="s">
        <v>36</v>
      </c>
      <c r="F8" s="67">
        <v>3.4606481481481485E-3</v>
      </c>
    </row>
    <row r="9" spans="1:6" ht="22" customHeight="1" x14ac:dyDescent="0.2">
      <c r="A9" s="39">
        <v>7</v>
      </c>
      <c r="B9" s="24" t="s">
        <v>97</v>
      </c>
      <c r="C9" s="37" t="s">
        <v>2</v>
      </c>
      <c r="D9" s="37" t="s">
        <v>3</v>
      </c>
      <c r="E9" s="24" t="s">
        <v>31</v>
      </c>
      <c r="F9" s="67">
        <v>3.2291666666666666E-3</v>
      </c>
    </row>
    <row r="10" spans="1:6" ht="22" customHeight="1" x14ac:dyDescent="0.2">
      <c r="A10" s="39">
        <v>8</v>
      </c>
      <c r="B10" s="24" t="s">
        <v>28</v>
      </c>
      <c r="C10" s="38"/>
      <c r="D10" s="38"/>
      <c r="E10" s="24" t="s">
        <v>31</v>
      </c>
      <c r="F10" s="67">
        <f>VLOOKUP(B10,'Song Tracker'!$A$3:$F$48,6,FALSE)</f>
        <v>2.7662037037037039E-3</v>
      </c>
    </row>
    <row r="11" spans="1:6" ht="22" customHeight="1" x14ac:dyDescent="0.2">
      <c r="A11" s="39">
        <v>9</v>
      </c>
      <c r="B11" s="24" t="s">
        <v>70</v>
      </c>
      <c r="C11" s="37" t="s">
        <v>2</v>
      </c>
      <c r="D11" s="37" t="s">
        <v>3</v>
      </c>
      <c r="E11" s="24" t="s">
        <v>31</v>
      </c>
      <c r="F11" s="67">
        <v>2.4305555555555556E-3</v>
      </c>
    </row>
    <row r="12" spans="1:6" ht="22" customHeight="1" x14ac:dyDescent="0.2">
      <c r="A12" s="39">
        <v>10</v>
      </c>
      <c r="B12" s="24" t="s">
        <v>57</v>
      </c>
      <c r="C12" s="37" t="s">
        <v>2</v>
      </c>
      <c r="D12" s="37" t="s">
        <v>3</v>
      </c>
      <c r="E12" s="24" t="s">
        <v>39</v>
      </c>
      <c r="F12" s="67">
        <f>VLOOKUP(B12,'Song Tracker'!$A$3:$F$48,6,FALSE)</f>
        <v>2.3032407407407407E-3</v>
      </c>
    </row>
    <row r="13" spans="1:6" ht="22" customHeight="1" x14ac:dyDescent="0.2">
      <c r="A13" s="39">
        <v>11</v>
      </c>
      <c r="B13" s="24" t="s">
        <v>127</v>
      </c>
      <c r="C13" s="37" t="s">
        <v>2</v>
      </c>
      <c r="D13" s="37" t="s">
        <v>3</v>
      </c>
      <c r="E13" s="24" t="s">
        <v>31</v>
      </c>
      <c r="F13" s="67">
        <v>2.0949074074074073E-3</v>
      </c>
    </row>
    <row r="14" spans="1:6" ht="22" customHeight="1" x14ac:dyDescent="0.2">
      <c r="A14" s="39">
        <v>12</v>
      </c>
      <c r="B14" s="24" t="s">
        <v>92</v>
      </c>
      <c r="C14" s="37" t="s">
        <v>2</v>
      </c>
      <c r="D14" s="37" t="s">
        <v>3</v>
      </c>
      <c r="E14" s="24" t="s">
        <v>36</v>
      </c>
      <c r="F14" s="67">
        <v>2.0486111111111113E-3</v>
      </c>
    </row>
    <row r="15" spans="1:6" ht="22" customHeight="1" x14ac:dyDescent="0.2">
      <c r="A15" s="39">
        <v>13</v>
      </c>
      <c r="B15" s="24" t="s">
        <v>116</v>
      </c>
      <c r="C15" s="37" t="s">
        <v>2</v>
      </c>
      <c r="D15" s="37" t="s">
        <v>3</v>
      </c>
      <c r="E15" s="24" t="s">
        <v>36</v>
      </c>
      <c r="F15" s="67">
        <v>2.2569444444444442E-3</v>
      </c>
    </row>
    <row r="16" spans="1:6" ht="22" customHeight="1" x14ac:dyDescent="0.2">
      <c r="A16" s="39">
        <v>14</v>
      </c>
      <c r="B16" s="24" t="s">
        <v>63</v>
      </c>
      <c r="C16" s="37" t="s">
        <v>2</v>
      </c>
      <c r="D16" s="37" t="s">
        <v>3</v>
      </c>
      <c r="E16" s="24" t="s">
        <v>31</v>
      </c>
      <c r="F16" s="67">
        <v>2.7893518518518519E-3</v>
      </c>
    </row>
    <row r="17" spans="1:6" ht="22" customHeight="1" x14ac:dyDescent="0.2">
      <c r="A17" s="39">
        <v>15</v>
      </c>
      <c r="B17" s="24" t="s">
        <v>94</v>
      </c>
      <c r="C17" s="37" t="s">
        <v>2</v>
      </c>
      <c r="D17" s="37" t="s">
        <v>3</v>
      </c>
      <c r="E17" s="24" t="s">
        <v>39</v>
      </c>
      <c r="F17" s="67">
        <v>3.5995370370370369E-3</v>
      </c>
    </row>
    <row r="18" spans="1:6" ht="22" customHeight="1" x14ac:dyDescent="0.2">
      <c r="A18" s="39">
        <v>16</v>
      </c>
      <c r="B18" s="24" t="s">
        <v>65</v>
      </c>
      <c r="C18" s="37" t="s">
        <v>2</v>
      </c>
      <c r="D18" s="37" t="s">
        <v>3</v>
      </c>
      <c r="E18" s="24" t="s">
        <v>36</v>
      </c>
      <c r="F18" s="67">
        <v>2.488425925925926E-3</v>
      </c>
    </row>
    <row r="19" spans="1:6" ht="22" customHeight="1" x14ac:dyDescent="0.2">
      <c r="A19" s="39">
        <v>17</v>
      </c>
      <c r="B19" s="24" t="s">
        <v>80</v>
      </c>
      <c r="C19" s="38"/>
      <c r="D19" s="37" t="s">
        <v>3</v>
      </c>
      <c r="E19" s="24" t="s">
        <v>39</v>
      </c>
      <c r="F19" s="67">
        <f>VLOOKUP(B19,'Song Tracker'!$A$3:$F$48,6,FALSE)</f>
        <v>2.6041666666666665E-3</v>
      </c>
    </row>
    <row r="20" spans="1:6" ht="22" customHeight="1" x14ac:dyDescent="0.2">
      <c r="A20" s="39">
        <v>18</v>
      </c>
      <c r="B20" s="24" t="s">
        <v>85</v>
      </c>
      <c r="C20" s="37" t="s">
        <v>2</v>
      </c>
      <c r="D20" s="37" t="s">
        <v>3</v>
      </c>
      <c r="E20" s="24" t="s">
        <v>48</v>
      </c>
      <c r="F20" s="67">
        <v>1.9791666666666668E-3</v>
      </c>
    </row>
    <row r="21" spans="1:6" ht="22" customHeight="1" x14ac:dyDescent="0.2">
      <c r="A21" s="39">
        <v>19</v>
      </c>
      <c r="B21" s="24" t="s">
        <v>46</v>
      </c>
      <c r="C21" s="37" t="s">
        <v>2</v>
      </c>
      <c r="D21" s="37" t="s">
        <v>3</v>
      </c>
      <c r="E21" s="24" t="s">
        <v>48</v>
      </c>
      <c r="F21" s="67">
        <v>1.7476851851851852E-3</v>
      </c>
    </row>
    <row r="22" spans="1:6" ht="22" customHeight="1" x14ac:dyDescent="0.2">
      <c r="A22" s="39">
        <v>20</v>
      </c>
      <c r="B22" s="24" t="s">
        <v>250</v>
      </c>
      <c r="C22" s="37" t="s">
        <v>2</v>
      </c>
      <c r="D22" s="37" t="s">
        <v>3</v>
      </c>
      <c r="E22" s="24" t="s">
        <v>39</v>
      </c>
      <c r="F22" s="67">
        <v>2.5810185185185185E-3</v>
      </c>
    </row>
    <row r="23" spans="1:6" ht="22" customHeight="1" x14ac:dyDescent="0.2">
      <c r="A23" s="39">
        <v>21</v>
      </c>
      <c r="B23" s="24" t="s">
        <v>101</v>
      </c>
      <c r="C23" s="37" t="s">
        <v>2</v>
      </c>
      <c r="D23" s="37" t="s">
        <v>3</v>
      </c>
      <c r="E23" s="24" t="s">
        <v>31</v>
      </c>
      <c r="F23" s="67">
        <v>4.1319444444444442E-3</v>
      </c>
    </row>
    <row r="24" spans="1:6" ht="22" customHeight="1" x14ac:dyDescent="0.2">
      <c r="A24" s="39">
        <v>22</v>
      </c>
      <c r="B24" s="24" t="s">
        <v>82</v>
      </c>
      <c r="C24" s="37" t="s">
        <v>2</v>
      </c>
      <c r="D24" s="38"/>
      <c r="E24" s="24" t="s">
        <v>36</v>
      </c>
      <c r="F24" s="67">
        <v>3.8541666666666663E-3</v>
      </c>
    </row>
    <row r="25" spans="1:6" ht="22" customHeight="1" x14ac:dyDescent="0.2">
      <c r="A25" s="39">
        <v>23</v>
      </c>
      <c r="B25" s="24" t="s">
        <v>34</v>
      </c>
      <c r="C25" s="37" t="s">
        <v>2</v>
      </c>
      <c r="D25" s="37" t="s">
        <v>3</v>
      </c>
      <c r="E25" s="24" t="s">
        <v>36</v>
      </c>
      <c r="F25" s="67">
        <f>VLOOKUP(B25,'Song Tracker'!$A$3:$F$48,6,FALSE)</f>
        <v>3.9583333333333337E-3</v>
      </c>
    </row>
    <row r="26" spans="1:6" ht="22" customHeight="1" x14ac:dyDescent="0.2">
      <c r="A26" s="39">
        <v>24</v>
      </c>
      <c r="B26" s="24" t="s">
        <v>41</v>
      </c>
      <c r="C26" s="37" t="s">
        <v>2</v>
      </c>
      <c r="D26" s="37" t="s">
        <v>3</v>
      </c>
      <c r="E26" s="24" t="s">
        <v>39</v>
      </c>
      <c r="F26" s="67">
        <v>2.7199074074074074E-3</v>
      </c>
    </row>
    <row r="27" spans="1:6" ht="22" customHeight="1" x14ac:dyDescent="0.2">
      <c r="A27" s="39">
        <v>25</v>
      </c>
      <c r="B27" s="24" t="s">
        <v>120</v>
      </c>
      <c r="C27" s="37" t="s">
        <v>2</v>
      </c>
      <c r="D27" s="37" t="s">
        <v>3</v>
      </c>
      <c r="E27" s="24" t="s">
        <v>31</v>
      </c>
      <c r="F27" s="67">
        <f>VLOOKUP(B27,'Song Tracker'!$A$3:$F$48,6,FALSE)</f>
        <v>2.0833333333333333E-3</v>
      </c>
    </row>
    <row r="28" spans="1:6" ht="22" customHeight="1" x14ac:dyDescent="0.2">
      <c r="A28" s="39">
        <v>26</v>
      </c>
      <c r="B28" s="24" t="s">
        <v>74</v>
      </c>
      <c r="C28" s="37" t="s">
        <v>2</v>
      </c>
      <c r="D28" s="37" t="s">
        <v>3</v>
      </c>
      <c r="E28" s="24" t="s">
        <v>39</v>
      </c>
      <c r="F28" s="67">
        <v>4.6874999999999998E-3</v>
      </c>
    </row>
    <row r="29" spans="1:6" ht="22" customHeight="1" x14ac:dyDescent="0.2">
      <c r="A29" s="39">
        <v>27</v>
      </c>
      <c r="B29" s="24" t="s">
        <v>123</v>
      </c>
      <c r="C29" s="37" t="s">
        <v>2</v>
      </c>
      <c r="D29" s="37" t="s">
        <v>3</v>
      </c>
      <c r="E29" s="24" t="s">
        <v>36</v>
      </c>
      <c r="F29" s="67">
        <v>3.3217592592592595E-3</v>
      </c>
    </row>
    <row r="30" spans="1:6" ht="22" customHeight="1" x14ac:dyDescent="0.2">
      <c r="A30" s="39">
        <v>28</v>
      </c>
      <c r="B30" s="24" t="s">
        <v>103</v>
      </c>
      <c r="C30" s="37" t="s">
        <v>2</v>
      </c>
      <c r="D30" s="37" t="s">
        <v>3</v>
      </c>
      <c r="E30" s="24" t="s">
        <v>31</v>
      </c>
      <c r="F30" s="67">
        <v>5.9606481481481481E-3</v>
      </c>
    </row>
    <row r="31" spans="1:6" x14ac:dyDescent="0.2">
      <c r="A31" s="28"/>
      <c r="B31" s="23"/>
      <c r="C31" s="30"/>
      <c r="D31" s="30"/>
      <c r="E31" s="23"/>
      <c r="F31" s="68"/>
    </row>
    <row r="32" spans="1:6" ht="22" customHeight="1" thickBot="1" x14ac:dyDescent="0.25">
      <c r="A32" s="33"/>
      <c r="B32" s="34" t="s">
        <v>247</v>
      </c>
      <c r="C32" s="35"/>
      <c r="D32" s="35"/>
      <c r="E32" s="34"/>
      <c r="F32" s="36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259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99</v>
      </c>
      <c r="C5" s="37" t="s">
        <v>2</v>
      </c>
      <c r="D5" s="37" t="s">
        <v>3</v>
      </c>
      <c r="E5" s="24" t="s">
        <v>39</v>
      </c>
      <c r="F5" s="67">
        <v>2.9513888888888888E-3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106</v>
      </c>
      <c r="C7" s="37" t="s">
        <v>2</v>
      </c>
      <c r="D7" s="37" t="s">
        <v>3</v>
      </c>
      <c r="E7" s="24" t="s">
        <v>36</v>
      </c>
      <c r="F7" s="67">
        <v>3.3680555555555556E-3</v>
      </c>
    </row>
    <row r="8" spans="1:6" ht="22" customHeight="1" x14ac:dyDescent="0.2">
      <c r="A8" s="39">
        <v>6</v>
      </c>
      <c r="B8" s="24" t="s">
        <v>114</v>
      </c>
      <c r="C8" s="37" t="s">
        <v>2</v>
      </c>
      <c r="D8" s="37" t="s">
        <v>3</v>
      </c>
      <c r="E8" s="24" t="s">
        <v>36</v>
      </c>
      <c r="F8" s="67">
        <v>3.4606481481481485E-3</v>
      </c>
    </row>
    <row r="9" spans="1:6" ht="22" customHeight="1" x14ac:dyDescent="0.2">
      <c r="A9" s="39">
        <v>7</v>
      </c>
      <c r="B9" s="24" t="s">
        <v>57</v>
      </c>
      <c r="C9" s="37" t="s">
        <v>2</v>
      </c>
      <c r="D9" s="37" t="s">
        <v>3</v>
      </c>
      <c r="E9" s="24" t="s">
        <v>39</v>
      </c>
      <c r="F9" s="67">
        <f>VLOOKUP(B9,'Song Tracker'!$A$3:$F$48,6,FALSE)</f>
        <v>2.3032407407407407E-3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70</v>
      </c>
      <c r="C11" s="37" t="s">
        <v>2</v>
      </c>
      <c r="D11" s="37" t="s">
        <v>3</v>
      </c>
      <c r="E11" s="24" t="s">
        <v>31</v>
      </c>
      <c r="F11" s="67">
        <v>2.4305555555555556E-3</v>
      </c>
    </row>
    <row r="12" spans="1:6" ht="22" customHeight="1" x14ac:dyDescent="0.2">
      <c r="A12" s="39">
        <v>10</v>
      </c>
      <c r="B12" s="24" t="s">
        <v>116</v>
      </c>
      <c r="C12" s="37" t="s">
        <v>2</v>
      </c>
      <c r="D12" s="37" t="s">
        <v>3</v>
      </c>
      <c r="E12" s="24" t="s">
        <v>36</v>
      </c>
      <c r="F12" s="67">
        <v>2.2569444444444442E-3</v>
      </c>
    </row>
    <row r="13" spans="1:6" ht="22" customHeight="1" x14ac:dyDescent="0.2">
      <c r="A13" s="39">
        <v>11</v>
      </c>
      <c r="B13" s="24" t="s">
        <v>63</v>
      </c>
      <c r="C13" s="37" t="s">
        <v>2</v>
      </c>
      <c r="D13" s="37" t="s">
        <v>3</v>
      </c>
      <c r="E13" s="24" t="s">
        <v>31</v>
      </c>
      <c r="F13" s="67">
        <v>2.7893518518518519E-3</v>
      </c>
    </row>
    <row r="14" spans="1:6" ht="22" customHeight="1" x14ac:dyDescent="0.2">
      <c r="A14" s="39">
        <v>12</v>
      </c>
      <c r="B14" s="24" t="s">
        <v>94</v>
      </c>
      <c r="C14" s="37" t="s">
        <v>2</v>
      </c>
      <c r="D14" s="37" t="s">
        <v>3</v>
      </c>
      <c r="E14" s="24" t="s">
        <v>39</v>
      </c>
      <c r="F14" s="67">
        <v>3.5995370370370369E-3</v>
      </c>
    </row>
    <row r="15" spans="1:6" ht="22" customHeight="1" x14ac:dyDescent="0.2">
      <c r="A15" s="39">
        <v>13</v>
      </c>
      <c r="B15" s="24" t="s">
        <v>80</v>
      </c>
      <c r="C15" s="38"/>
      <c r="D15" s="37" t="s">
        <v>3</v>
      </c>
      <c r="E15" s="24" t="s">
        <v>39</v>
      </c>
      <c r="F15" s="67">
        <f>VLOOKUP(B15,'Song Tracker'!$A$3:$F$48,6,FALSE)</f>
        <v>2.6041666666666665E-3</v>
      </c>
    </row>
    <row r="16" spans="1:6" ht="22" customHeight="1" x14ac:dyDescent="0.2">
      <c r="A16" s="39">
        <v>14</v>
      </c>
      <c r="B16" s="24" t="s">
        <v>85</v>
      </c>
      <c r="C16" s="37" t="s">
        <v>2</v>
      </c>
      <c r="D16" s="37" t="s">
        <v>3</v>
      </c>
      <c r="E16" s="24" t="s">
        <v>48</v>
      </c>
      <c r="F16" s="67">
        <v>1.9791666666666668E-3</v>
      </c>
    </row>
    <row r="17" spans="1:6" ht="22" customHeight="1" x14ac:dyDescent="0.2">
      <c r="A17" s="39">
        <v>15</v>
      </c>
      <c r="B17" s="24" t="s">
        <v>46</v>
      </c>
      <c r="C17" s="37" t="s">
        <v>2</v>
      </c>
      <c r="D17" s="37" t="s">
        <v>3</v>
      </c>
      <c r="E17" s="24" t="s">
        <v>48</v>
      </c>
      <c r="F17" s="67">
        <v>1.7476851851851852E-3</v>
      </c>
    </row>
    <row r="18" spans="1:6" ht="22" customHeight="1" x14ac:dyDescent="0.2">
      <c r="A18" s="39">
        <v>16</v>
      </c>
      <c r="B18" s="24" t="s">
        <v>101</v>
      </c>
      <c r="C18" s="37" t="s">
        <v>2</v>
      </c>
      <c r="D18" s="37" t="s">
        <v>3</v>
      </c>
      <c r="E18" s="24" t="s">
        <v>31</v>
      </c>
      <c r="F18" s="67">
        <v>4.1319444444444442E-3</v>
      </c>
    </row>
    <row r="19" spans="1:6" ht="22" customHeight="1" x14ac:dyDescent="0.2">
      <c r="A19" s="39">
        <v>17</v>
      </c>
      <c r="B19" s="24" t="s">
        <v>82</v>
      </c>
      <c r="C19" s="37" t="s">
        <v>2</v>
      </c>
      <c r="D19" s="38"/>
      <c r="E19" s="24" t="s">
        <v>36</v>
      </c>
      <c r="F19" s="67">
        <v>3.8541666666666663E-3</v>
      </c>
    </row>
    <row r="20" spans="1:6" ht="22" customHeight="1" x14ac:dyDescent="0.2">
      <c r="A20" s="39">
        <v>18</v>
      </c>
      <c r="B20" s="24" t="s">
        <v>74</v>
      </c>
      <c r="C20" s="37" t="s">
        <v>2</v>
      </c>
      <c r="D20" s="37" t="s">
        <v>3</v>
      </c>
      <c r="E20" s="24" t="s">
        <v>39</v>
      </c>
      <c r="F20" s="67">
        <v>4.6874999999999998E-3</v>
      </c>
    </row>
    <row r="21" spans="1:6" ht="22" customHeight="1" x14ac:dyDescent="0.2">
      <c r="A21" s="39">
        <v>19</v>
      </c>
      <c r="B21" s="24" t="s">
        <v>123</v>
      </c>
      <c r="C21" s="37" t="s">
        <v>2</v>
      </c>
      <c r="D21" s="37" t="s">
        <v>3</v>
      </c>
      <c r="E21" s="24" t="s">
        <v>36</v>
      </c>
      <c r="F21" s="67">
        <v>3.3217592592592595E-3</v>
      </c>
    </row>
    <row r="22" spans="1:6" ht="22" customHeight="1" x14ac:dyDescent="0.2">
      <c r="A22" s="39" t="s">
        <v>260</v>
      </c>
      <c r="B22" s="24" t="s">
        <v>103</v>
      </c>
      <c r="C22" s="37" t="s">
        <v>2</v>
      </c>
      <c r="D22" s="37" t="s">
        <v>3</v>
      </c>
      <c r="E22" s="24" t="s">
        <v>31</v>
      </c>
      <c r="F22" s="67">
        <v>5.9606481481481481E-3</v>
      </c>
    </row>
    <row r="23" spans="1:6" x14ac:dyDescent="0.2">
      <c r="A23" s="28"/>
      <c r="B23" s="23"/>
      <c r="C23" s="30"/>
      <c r="D23" s="30"/>
      <c r="E23" s="23"/>
      <c r="F23" s="68"/>
    </row>
    <row r="24" spans="1:6" ht="22" customHeight="1" thickBot="1" x14ac:dyDescent="0.25">
      <c r="A24" s="33"/>
      <c r="B24" s="34" t="s">
        <v>247</v>
      </c>
      <c r="C24" s="35"/>
      <c r="D24" s="35"/>
      <c r="E24" s="34"/>
      <c r="F24" s="36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261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120</v>
      </c>
      <c r="C3" s="37" t="s">
        <v>2</v>
      </c>
      <c r="D3" s="37" t="s">
        <v>3</v>
      </c>
      <c r="E3" s="24" t="s">
        <v>31</v>
      </c>
      <c r="F3" s="67">
        <f>VLOOKUP(B3,'Song Tracker'!$A$3:$F$48,6,FALSE)</f>
        <v>2.0833333333333333E-3</v>
      </c>
    </row>
    <row r="4" spans="1:6" ht="22" customHeight="1" x14ac:dyDescent="0.2">
      <c r="A4" s="39">
        <v>2</v>
      </c>
      <c r="B4" s="24" t="s">
        <v>99</v>
      </c>
      <c r="C4" s="37" t="s">
        <v>2</v>
      </c>
      <c r="D4" s="37" t="s">
        <v>3</v>
      </c>
      <c r="E4" s="24" t="s">
        <v>39</v>
      </c>
      <c r="F4" s="67">
        <v>2.9513888888888888E-3</v>
      </c>
    </row>
    <row r="5" spans="1:6" ht="22" customHeight="1" x14ac:dyDescent="0.2">
      <c r="A5" s="39">
        <v>3</v>
      </c>
      <c r="B5" s="24" t="s">
        <v>78</v>
      </c>
      <c r="C5" s="37" t="s">
        <v>2</v>
      </c>
      <c r="D5" s="37" t="s">
        <v>3</v>
      </c>
      <c r="E5" s="24" t="s">
        <v>39</v>
      </c>
      <c r="F5" s="67">
        <v>2.5810185185185185E-3</v>
      </c>
    </row>
    <row r="6" spans="1:6" ht="22" customHeight="1" x14ac:dyDescent="0.2">
      <c r="A6" s="39">
        <v>4</v>
      </c>
      <c r="B6" s="24" t="s">
        <v>94</v>
      </c>
      <c r="C6" s="37" t="s">
        <v>2</v>
      </c>
      <c r="D6" s="37" t="s">
        <v>3</v>
      </c>
      <c r="E6" s="24" t="s">
        <v>39</v>
      </c>
      <c r="F6" s="67">
        <v>3.5995370370370369E-3</v>
      </c>
    </row>
    <row r="7" spans="1:6" ht="22" customHeight="1" x14ac:dyDescent="0.2">
      <c r="A7" s="39">
        <v>5</v>
      </c>
      <c r="B7" s="24" t="s">
        <v>46</v>
      </c>
      <c r="C7" s="37" t="s">
        <v>2</v>
      </c>
      <c r="D7" s="37" t="s">
        <v>3</v>
      </c>
      <c r="E7" s="24" t="s">
        <v>48</v>
      </c>
      <c r="F7" s="67">
        <v>1.7476851851851852E-3</v>
      </c>
    </row>
    <row r="8" spans="1:6" ht="22" customHeight="1" x14ac:dyDescent="0.2">
      <c r="A8" s="39">
        <v>6</v>
      </c>
      <c r="B8" s="24" t="s">
        <v>106</v>
      </c>
      <c r="C8" s="37" t="s">
        <v>2</v>
      </c>
      <c r="D8" s="37" t="s">
        <v>3</v>
      </c>
      <c r="E8" s="24" t="s">
        <v>36</v>
      </c>
      <c r="F8" s="67">
        <v>3.3680555555555556E-3</v>
      </c>
    </row>
    <row r="9" spans="1:6" ht="22" customHeight="1" x14ac:dyDescent="0.2">
      <c r="A9" s="39">
        <v>7</v>
      </c>
      <c r="B9" s="24" t="s">
        <v>63</v>
      </c>
      <c r="C9" s="37" t="s">
        <v>2</v>
      </c>
      <c r="D9" s="37" t="s">
        <v>3</v>
      </c>
      <c r="E9" s="24" t="s">
        <v>31</v>
      </c>
      <c r="F9" s="67">
        <v>2.7893518518518519E-3</v>
      </c>
    </row>
    <row r="10" spans="1:6" ht="22" customHeight="1" x14ac:dyDescent="0.2">
      <c r="A10" s="39">
        <v>8</v>
      </c>
      <c r="B10" s="24" t="s">
        <v>80</v>
      </c>
      <c r="C10" s="38"/>
      <c r="D10" s="37" t="s">
        <v>3</v>
      </c>
      <c r="E10" s="24" t="s">
        <v>39</v>
      </c>
      <c r="F10" s="67">
        <f>VLOOKUP(B10,'Song Tracker'!$A$3:$F$48,6,FALSE)</f>
        <v>2.6041666666666665E-3</v>
      </c>
    </row>
    <row r="11" spans="1:6" ht="22" customHeight="1" x14ac:dyDescent="0.2">
      <c r="A11" s="39">
        <v>9</v>
      </c>
      <c r="B11" s="24" t="s">
        <v>49</v>
      </c>
      <c r="C11" s="37" t="s">
        <v>2</v>
      </c>
      <c r="D11" s="37" t="s">
        <v>3</v>
      </c>
      <c r="E11" s="24" t="s">
        <v>31</v>
      </c>
      <c r="F11" s="67">
        <v>2.1874999999999998E-3</v>
      </c>
    </row>
    <row r="12" spans="1:6" ht="22" customHeight="1" x14ac:dyDescent="0.2">
      <c r="A12" s="39">
        <v>10</v>
      </c>
      <c r="B12" s="24" t="s">
        <v>92</v>
      </c>
      <c r="C12" s="37" t="s">
        <v>2</v>
      </c>
      <c r="D12" s="37" t="s">
        <v>3</v>
      </c>
      <c r="E12" s="24" t="s">
        <v>36</v>
      </c>
      <c r="F12" s="67">
        <v>2.0486111111111113E-3</v>
      </c>
    </row>
    <row r="13" spans="1:6" ht="22" customHeight="1" x14ac:dyDescent="0.2">
      <c r="A13" s="39">
        <v>11</v>
      </c>
      <c r="B13" s="24" t="s">
        <v>116</v>
      </c>
      <c r="C13" s="37" t="s">
        <v>2</v>
      </c>
      <c r="D13" s="37" t="s">
        <v>3</v>
      </c>
      <c r="E13" s="24" t="s">
        <v>36</v>
      </c>
      <c r="F13" s="67">
        <v>2.2569444444444442E-3</v>
      </c>
    </row>
    <row r="14" spans="1:6" ht="22" customHeight="1" x14ac:dyDescent="0.2">
      <c r="A14" s="39">
        <v>12</v>
      </c>
      <c r="B14" s="24" t="s">
        <v>250</v>
      </c>
      <c r="C14" s="37" t="s">
        <v>2</v>
      </c>
      <c r="D14" s="37" t="s">
        <v>3</v>
      </c>
      <c r="E14" s="24" t="s">
        <v>39</v>
      </c>
      <c r="F14" s="67">
        <v>2.5810185185185185E-3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 t="s">
        <v>262</v>
      </c>
      <c r="B16" s="24" t="s">
        <v>103</v>
      </c>
      <c r="C16" s="37" t="s">
        <v>2</v>
      </c>
      <c r="D16" s="37" t="s">
        <v>3</v>
      </c>
      <c r="E16" s="24" t="s">
        <v>31</v>
      </c>
      <c r="F16" s="67">
        <v>5.9606481481481481E-3</v>
      </c>
    </row>
    <row r="17" spans="1:6" x14ac:dyDescent="0.2">
      <c r="A17" s="28"/>
      <c r="B17" s="23"/>
      <c r="C17" s="30"/>
      <c r="D17" s="30"/>
      <c r="E17" s="23"/>
      <c r="F17" s="68"/>
    </row>
    <row r="18" spans="1:6" ht="22" customHeight="1" thickBot="1" x14ac:dyDescent="0.25">
      <c r="A18" s="33"/>
      <c r="B18" s="34" t="s">
        <v>247</v>
      </c>
      <c r="C18" s="35"/>
      <c r="D18" s="35"/>
      <c r="E18" s="34"/>
      <c r="F18" s="36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263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85</v>
      </c>
      <c r="C5" s="37" t="s">
        <v>2</v>
      </c>
      <c r="D5" s="37" t="s">
        <v>3</v>
      </c>
      <c r="E5" s="24" t="s">
        <v>48</v>
      </c>
      <c r="F5" s="67">
        <v>1.9791666666666668E-3</v>
      </c>
    </row>
    <row r="6" spans="1:6" ht="22" customHeight="1" x14ac:dyDescent="0.2">
      <c r="A6" s="39">
        <v>4</v>
      </c>
      <c r="B6" s="24" t="s">
        <v>94</v>
      </c>
      <c r="C6" s="37" t="s">
        <v>2</v>
      </c>
      <c r="D6" s="37" t="s">
        <v>3</v>
      </c>
      <c r="E6" s="24" t="s">
        <v>39</v>
      </c>
      <c r="F6" s="67">
        <v>3.5995370370370369E-3</v>
      </c>
    </row>
    <row r="7" spans="1:6" ht="22" customHeight="1" x14ac:dyDescent="0.2">
      <c r="A7" s="39">
        <v>5</v>
      </c>
      <c r="B7" s="24" t="s">
        <v>52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5.5555555555555558E-3</v>
      </c>
    </row>
    <row r="8" spans="1:6" ht="22" customHeight="1" x14ac:dyDescent="0.2">
      <c r="A8" s="39">
        <v>6</v>
      </c>
      <c r="B8" s="24" t="s">
        <v>99</v>
      </c>
      <c r="C8" s="37" t="s">
        <v>2</v>
      </c>
      <c r="D8" s="37" t="s">
        <v>3</v>
      </c>
      <c r="E8" s="24" t="s">
        <v>39</v>
      </c>
      <c r="F8" s="67">
        <v>2.9513888888888888E-3</v>
      </c>
    </row>
    <row r="9" spans="1:6" ht="22" customHeight="1" x14ac:dyDescent="0.2">
      <c r="A9" s="39">
        <v>7</v>
      </c>
      <c r="B9" s="24" t="s">
        <v>82</v>
      </c>
      <c r="C9" s="37" t="s">
        <v>2</v>
      </c>
      <c r="D9" s="38"/>
      <c r="E9" s="24" t="s">
        <v>36</v>
      </c>
      <c r="F9" s="67">
        <v>3.8541666666666663E-3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80</v>
      </c>
      <c r="C11" s="38"/>
      <c r="D11" s="37" t="s">
        <v>3</v>
      </c>
      <c r="E11" s="24" t="s">
        <v>39</v>
      </c>
      <c r="F11" s="67">
        <f>VLOOKUP(B11,'Song Tracker'!$A$3:$F$48,6,FALSE)</f>
        <v>2.6041666666666665E-3</v>
      </c>
    </row>
    <row r="12" spans="1:6" ht="22" customHeight="1" x14ac:dyDescent="0.2">
      <c r="A12" s="39">
        <v>10</v>
      </c>
      <c r="B12" s="24" t="s">
        <v>46</v>
      </c>
      <c r="C12" s="37" t="s">
        <v>2</v>
      </c>
      <c r="D12" s="37" t="s">
        <v>3</v>
      </c>
      <c r="E12" s="24" t="s">
        <v>48</v>
      </c>
      <c r="F12" s="67">
        <v>1.7476851851851852E-3</v>
      </c>
    </row>
    <row r="13" spans="1:6" ht="22" customHeight="1" x14ac:dyDescent="0.2">
      <c r="A13" s="39">
        <v>11</v>
      </c>
      <c r="B13" s="24" t="s">
        <v>123</v>
      </c>
      <c r="C13" s="37" t="s">
        <v>2</v>
      </c>
      <c r="D13" s="37" t="s">
        <v>3</v>
      </c>
      <c r="E13" s="24" t="s">
        <v>36</v>
      </c>
      <c r="F13" s="67">
        <v>3.3217592592592595E-3</v>
      </c>
    </row>
    <row r="14" spans="1:6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247</v>
      </c>
      <c r="C15" s="35"/>
      <c r="D15" s="35"/>
      <c r="E15" s="34"/>
      <c r="F15" s="36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264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250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34</v>
      </c>
      <c r="C10" s="37" t="s">
        <v>2</v>
      </c>
      <c r="D10" s="37" t="s">
        <v>3</v>
      </c>
      <c r="E10" s="24" t="s">
        <v>36</v>
      </c>
      <c r="F10" s="67">
        <f>VLOOKUP(B10,'Song Tracker'!$A$3:$F$48,6,FALSE)</f>
        <v>3.9583333333333337E-3</v>
      </c>
    </row>
    <row r="11" spans="1:6" ht="22" customHeight="1" x14ac:dyDescent="0.2">
      <c r="A11" s="39">
        <v>9</v>
      </c>
      <c r="B11" s="24" t="s">
        <v>96</v>
      </c>
      <c r="C11" s="37" t="s">
        <v>2</v>
      </c>
      <c r="D11" s="37" t="s">
        <v>3</v>
      </c>
      <c r="E11" s="24" t="s">
        <v>48</v>
      </c>
      <c r="F11" s="67">
        <f>VLOOKUP(B11,'Song Tracker'!$A$3:$F$48,6,FALSE)</f>
        <v>1.9675925925925924E-3</v>
      </c>
    </row>
    <row r="12" spans="1:6" ht="22" customHeight="1" x14ac:dyDescent="0.2">
      <c r="A12" s="39">
        <v>10</v>
      </c>
      <c r="B12" s="24" t="s">
        <v>52</v>
      </c>
      <c r="C12" s="37" t="s">
        <v>2</v>
      </c>
      <c r="D12" s="37" t="s">
        <v>3</v>
      </c>
      <c r="E12" s="24" t="s">
        <v>31</v>
      </c>
      <c r="F12" s="67">
        <f>VLOOKUP(B12,'Song Tracker'!$A$3:$F$48,6,FALSE)</f>
        <v>5.5555555555555558E-3</v>
      </c>
    </row>
    <row r="13" spans="1:6" ht="22" customHeight="1" x14ac:dyDescent="0.2">
      <c r="A13" s="39">
        <v>11</v>
      </c>
      <c r="B13" s="24" t="s">
        <v>82</v>
      </c>
      <c r="C13" s="37" t="s">
        <v>2</v>
      </c>
      <c r="D13" s="38"/>
      <c r="E13" s="24" t="s">
        <v>36</v>
      </c>
      <c r="F13" s="67">
        <v>3.8541666666666663E-3</v>
      </c>
    </row>
    <row r="14" spans="1:6" ht="22" customHeight="1" x14ac:dyDescent="0.2">
      <c r="A14" s="39">
        <v>12</v>
      </c>
      <c r="B14" s="24" t="s">
        <v>97</v>
      </c>
      <c r="C14" s="37" t="s">
        <v>2</v>
      </c>
      <c r="D14" s="37" t="s">
        <v>3</v>
      </c>
      <c r="E14" s="24" t="s">
        <v>31</v>
      </c>
      <c r="F14" s="67">
        <v>3.2291666666666666E-3</v>
      </c>
    </row>
    <row r="15" spans="1:6" ht="22" customHeight="1" x14ac:dyDescent="0.2">
      <c r="A15" s="39">
        <v>13</v>
      </c>
      <c r="B15" s="24" t="s">
        <v>123</v>
      </c>
      <c r="C15" s="37" t="s">
        <v>2</v>
      </c>
      <c r="D15" s="37" t="s">
        <v>3</v>
      </c>
      <c r="E15" s="24" t="s">
        <v>36</v>
      </c>
      <c r="F15" s="67">
        <v>3.3217592592592595E-3</v>
      </c>
    </row>
    <row r="16" spans="1:6" ht="22" customHeight="1" x14ac:dyDescent="0.2">
      <c r="A16" s="39">
        <v>14</v>
      </c>
      <c r="B16" s="24" t="s">
        <v>110</v>
      </c>
      <c r="C16" s="37" t="s">
        <v>2</v>
      </c>
      <c r="D16" s="37" t="s">
        <v>3</v>
      </c>
      <c r="E16" s="24" t="s">
        <v>112</v>
      </c>
      <c r="F16" s="67">
        <f>VLOOKUP(B16,'Song Tracker'!$A$3:$F$48,6,FALSE)</f>
        <v>3.472222222222222E-3</v>
      </c>
    </row>
    <row r="17" spans="1:6" ht="22" customHeight="1" x14ac:dyDescent="0.2">
      <c r="A17" s="39">
        <v>15</v>
      </c>
      <c r="B17" s="24" t="s">
        <v>80</v>
      </c>
      <c r="C17" s="38"/>
      <c r="D17" s="37" t="s">
        <v>3</v>
      </c>
      <c r="E17" s="24" t="s">
        <v>39</v>
      </c>
      <c r="F17" s="67">
        <f>VLOOKUP(B17,'Song Tracker'!$A$3:$F$48,6,FALSE)</f>
        <v>2.6041666666666665E-3</v>
      </c>
    </row>
    <row r="18" spans="1:6" ht="22" customHeight="1" x14ac:dyDescent="0.2">
      <c r="A18" s="39">
        <v>16</v>
      </c>
      <c r="B18" s="24" t="s">
        <v>76</v>
      </c>
      <c r="C18" s="37" t="s">
        <v>2</v>
      </c>
      <c r="D18" s="37" t="s">
        <v>3</v>
      </c>
      <c r="E18" s="24" t="s">
        <v>31</v>
      </c>
      <c r="F18" s="67">
        <f>VLOOKUP(B18,'Song Tracker'!$A$3:$F$48,6,FALSE)</f>
        <v>2.5115740740740741E-3</v>
      </c>
    </row>
    <row r="19" spans="1:6" ht="22" customHeight="1" x14ac:dyDescent="0.2">
      <c r="A19" s="39">
        <v>17</v>
      </c>
      <c r="B19" s="24" t="s">
        <v>50</v>
      </c>
      <c r="C19" s="37" t="s">
        <v>2</v>
      </c>
      <c r="D19" s="37" t="s">
        <v>3</v>
      </c>
      <c r="E19" s="24" t="s">
        <v>48</v>
      </c>
      <c r="F19" s="67">
        <f>VLOOKUP(B19,'Song Tracker'!$A$3:$F$48,6,FALSE)</f>
        <v>3.3449074074074076E-3</v>
      </c>
    </row>
    <row r="20" spans="1:6" ht="22" customHeight="1" x14ac:dyDescent="0.2">
      <c r="A20" s="39">
        <v>18</v>
      </c>
      <c r="B20" s="24" t="s">
        <v>101</v>
      </c>
      <c r="C20" s="37" t="s">
        <v>2</v>
      </c>
      <c r="D20" s="37" t="s">
        <v>3</v>
      </c>
      <c r="E20" s="24" t="s">
        <v>31</v>
      </c>
      <c r="F20" s="67">
        <v>4.1319444444444442E-3</v>
      </c>
    </row>
    <row r="21" spans="1:6" ht="22" customHeight="1" x14ac:dyDescent="0.2">
      <c r="A21" s="39">
        <v>19</v>
      </c>
      <c r="B21" s="24" t="s">
        <v>99</v>
      </c>
      <c r="C21" s="37" t="s">
        <v>2</v>
      </c>
      <c r="D21" s="37" t="s">
        <v>3</v>
      </c>
      <c r="E21" s="24" t="s">
        <v>39</v>
      </c>
      <c r="F21" s="67">
        <v>2.9513888888888888E-3</v>
      </c>
    </row>
    <row r="22" spans="1:6" ht="22" customHeight="1" x14ac:dyDescent="0.2">
      <c r="A22" s="39">
        <v>20</v>
      </c>
      <c r="B22" s="24" t="s">
        <v>104</v>
      </c>
      <c r="C22" s="37" t="s">
        <v>2</v>
      </c>
      <c r="D22" s="37" t="s">
        <v>3</v>
      </c>
      <c r="E22" s="24" t="s">
        <v>36</v>
      </c>
      <c r="F22" s="67">
        <f>VLOOKUP(B22,'Song Tracker'!$A$3:$F$48,6,FALSE)</f>
        <v>2.4305555555555556E-3</v>
      </c>
    </row>
    <row r="23" spans="1:6" ht="22" customHeight="1" x14ac:dyDescent="0.2">
      <c r="A23" s="39">
        <v>22</v>
      </c>
      <c r="B23" s="24" t="s">
        <v>46</v>
      </c>
      <c r="C23" s="37" t="s">
        <v>2</v>
      </c>
      <c r="D23" s="37" t="s">
        <v>3</v>
      </c>
      <c r="E23" s="24" t="s">
        <v>48</v>
      </c>
      <c r="F23" s="67">
        <v>1.7476851851851852E-3</v>
      </c>
    </row>
    <row r="24" spans="1:6" ht="22" customHeight="1" x14ac:dyDescent="0.2">
      <c r="A24" s="39">
        <v>23</v>
      </c>
      <c r="B24" s="24" t="s">
        <v>92</v>
      </c>
      <c r="C24" s="37" t="s">
        <v>2</v>
      </c>
      <c r="D24" s="37" t="s">
        <v>3</v>
      </c>
      <c r="E24" s="24" t="s">
        <v>36</v>
      </c>
      <c r="F24" s="67">
        <v>2.0486111111111113E-3</v>
      </c>
    </row>
    <row r="25" spans="1:6" ht="22" customHeight="1" x14ac:dyDescent="0.2">
      <c r="A25" s="39">
        <v>24</v>
      </c>
      <c r="B25" s="24" t="s">
        <v>78</v>
      </c>
      <c r="C25" s="37" t="s">
        <v>2</v>
      </c>
      <c r="D25" s="37" t="s">
        <v>3</v>
      </c>
      <c r="E25" s="24" t="s">
        <v>39</v>
      </c>
      <c r="F25" s="67">
        <v>2.5810185185185185E-3</v>
      </c>
    </row>
    <row r="26" spans="1:6" ht="22" customHeight="1" x14ac:dyDescent="0.2">
      <c r="A26" s="39">
        <v>25</v>
      </c>
      <c r="B26" s="24" t="s">
        <v>103</v>
      </c>
      <c r="C26" s="37" t="s">
        <v>2</v>
      </c>
      <c r="D26" s="37" t="s">
        <v>3</v>
      </c>
      <c r="E26" s="24" t="s">
        <v>31</v>
      </c>
      <c r="F26" s="67">
        <v>5.9606481481481481E-3</v>
      </c>
    </row>
    <row r="27" spans="1:6" ht="22" customHeight="1" x14ac:dyDescent="0.2">
      <c r="A27" s="39">
        <v>26</v>
      </c>
      <c r="B27" s="24" t="s">
        <v>74</v>
      </c>
      <c r="C27" s="37" t="s">
        <v>2</v>
      </c>
      <c r="D27" s="37" t="s">
        <v>3</v>
      </c>
      <c r="E27" s="24" t="s">
        <v>39</v>
      </c>
      <c r="F27" s="67">
        <v>4.6874999999999998E-3</v>
      </c>
    </row>
    <row r="28" spans="1:6" ht="22" customHeight="1" x14ac:dyDescent="0.2">
      <c r="A28" s="39">
        <v>27</v>
      </c>
      <c r="B28" s="24" t="s">
        <v>118</v>
      </c>
      <c r="C28" s="37" t="s">
        <v>2</v>
      </c>
      <c r="D28" s="37" t="s">
        <v>3</v>
      </c>
      <c r="E28" s="24" t="s">
        <v>36</v>
      </c>
      <c r="F28" s="67">
        <f>VLOOKUP(B28,'Song Tracker'!$A$3:$F$48,6,FALSE)</f>
        <v>3.472222222222222E-3</v>
      </c>
    </row>
    <row r="29" spans="1:6" x14ac:dyDescent="0.2">
      <c r="A29" s="28"/>
      <c r="B29" s="23"/>
      <c r="C29" s="30"/>
      <c r="D29" s="30"/>
      <c r="E29" s="23"/>
      <c r="F29" s="68"/>
    </row>
    <row r="30" spans="1:6" ht="22" customHeight="1" thickBot="1" x14ac:dyDescent="0.25">
      <c r="A30" s="33"/>
      <c r="B30" s="34" t="s">
        <v>247</v>
      </c>
      <c r="C30" s="35"/>
      <c r="D30" s="35"/>
      <c r="E30" s="34"/>
      <c r="F30" s="36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265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250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34</v>
      </c>
      <c r="C10" s="37" t="s">
        <v>2</v>
      </c>
      <c r="D10" s="37" t="s">
        <v>3</v>
      </c>
      <c r="E10" s="24" t="s">
        <v>36</v>
      </c>
      <c r="F10" s="67">
        <f>VLOOKUP(B10,'Song Tracker'!$A$3:$F$48,6,FALSE)</f>
        <v>3.9583333333333337E-3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82</v>
      </c>
      <c r="C12" s="37" t="s">
        <v>2</v>
      </c>
      <c r="D12" s="38"/>
      <c r="E12" s="24" t="s">
        <v>36</v>
      </c>
      <c r="F12" s="67">
        <v>3.8541666666666663E-3</v>
      </c>
    </row>
    <row r="13" spans="1:6" ht="22" customHeight="1" x14ac:dyDescent="0.2">
      <c r="A13" s="39">
        <v>11</v>
      </c>
      <c r="B13" s="24" t="s">
        <v>97</v>
      </c>
      <c r="C13" s="37" t="s">
        <v>2</v>
      </c>
      <c r="D13" s="37" t="s">
        <v>3</v>
      </c>
      <c r="E13" s="24" t="s">
        <v>31</v>
      </c>
      <c r="F13" s="67">
        <v>3.2291666666666666E-3</v>
      </c>
    </row>
    <row r="14" spans="1:6" ht="22" customHeight="1" x14ac:dyDescent="0.2">
      <c r="A14" s="39">
        <v>1</v>
      </c>
      <c r="B14" s="24" t="s">
        <v>110</v>
      </c>
      <c r="C14" s="37" t="s">
        <v>2</v>
      </c>
      <c r="D14" s="37" t="s">
        <v>3</v>
      </c>
      <c r="E14" s="24" t="s">
        <v>112</v>
      </c>
      <c r="F14" s="67">
        <f>VLOOKUP(B14,'Song Tracker'!$A$3:$F$48,6,FALSE)</f>
        <v>3.472222222222222E-3</v>
      </c>
    </row>
    <row r="15" spans="1:6" ht="22" customHeight="1" x14ac:dyDescent="0.2">
      <c r="A15" s="39">
        <v>2</v>
      </c>
      <c r="B15" s="24" t="s">
        <v>80</v>
      </c>
      <c r="C15" s="38"/>
      <c r="D15" s="37" t="s">
        <v>3</v>
      </c>
      <c r="E15" s="24" t="s">
        <v>39</v>
      </c>
      <c r="F15" s="67">
        <f>VLOOKUP(B15,'Song Tracker'!$A$3:$F$48,6,FALSE)</f>
        <v>2.6041666666666665E-3</v>
      </c>
    </row>
    <row r="16" spans="1:6" ht="22" customHeight="1" x14ac:dyDescent="0.2">
      <c r="A16" s="39">
        <v>3</v>
      </c>
      <c r="B16" s="24" t="s">
        <v>101</v>
      </c>
      <c r="C16" s="37" t="s">
        <v>2</v>
      </c>
      <c r="D16" s="37" t="s">
        <v>3</v>
      </c>
      <c r="E16" s="24" t="s">
        <v>31</v>
      </c>
      <c r="F16" s="67">
        <v>4.1319444444444442E-3</v>
      </c>
    </row>
    <row r="17" spans="1:6" ht="22" customHeight="1" x14ac:dyDescent="0.2">
      <c r="A17" s="39">
        <v>4</v>
      </c>
      <c r="B17" s="24" t="s">
        <v>104</v>
      </c>
      <c r="C17" s="37" t="s">
        <v>2</v>
      </c>
      <c r="D17" s="37" t="s">
        <v>3</v>
      </c>
      <c r="E17" s="24" t="s">
        <v>36</v>
      </c>
      <c r="F17" s="67">
        <f>VLOOKUP(B17,'Song Tracker'!$A$3:$F$48,6,FALSE)</f>
        <v>2.4305555555555556E-3</v>
      </c>
    </row>
    <row r="18" spans="1:6" ht="22" customHeight="1" x14ac:dyDescent="0.2">
      <c r="A18" s="39">
        <v>5</v>
      </c>
      <c r="B18" s="24" t="s">
        <v>46</v>
      </c>
      <c r="C18" s="37" t="s">
        <v>2</v>
      </c>
      <c r="D18" s="37" t="s">
        <v>3</v>
      </c>
      <c r="E18" s="24" t="s">
        <v>48</v>
      </c>
      <c r="F18" s="67">
        <v>1.7476851851851852E-3</v>
      </c>
    </row>
    <row r="19" spans="1:6" ht="22" customHeight="1" x14ac:dyDescent="0.2">
      <c r="A19" s="39">
        <v>6</v>
      </c>
      <c r="B19" s="24" t="s">
        <v>92</v>
      </c>
      <c r="C19" s="37" t="s">
        <v>2</v>
      </c>
      <c r="D19" s="37" t="s">
        <v>3</v>
      </c>
      <c r="E19" s="24" t="s">
        <v>36</v>
      </c>
      <c r="F19" s="67">
        <v>2.0486111111111113E-3</v>
      </c>
    </row>
    <row r="20" spans="1:6" ht="22" customHeight="1" x14ac:dyDescent="0.2">
      <c r="A20" s="39">
        <v>7</v>
      </c>
      <c r="B20" s="24" t="s">
        <v>78</v>
      </c>
      <c r="C20" s="37" t="s">
        <v>2</v>
      </c>
      <c r="D20" s="37" t="s">
        <v>3</v>
      </c>
      <c r="E20" s="24" t="s">
        <v>39</v>
      </c>
      <c r="F20" s="67">
        <v>2.5810185185185185E-3</v>
      </c>
    </row>
    <row r="21" spans="1:6" ht="22" customHeight="1" x14ac:dyDescent="0.2">
      <c r="A21" s="39">
        <v>8</v>
      </c>
      <c r="B21" s="24" t="s">
        <v>123</v>
      </c>
      <c r="C21" s="37" t="s">
        <v>2</v>
      </c>
      <c r="D21" s="37" t="s">
        <v>3</v>
      </c>
      <c r="E21" s="24" t="s">
        <v>36</v>
      </c>
      <c r="F21" s="67">
        <v>3.3217592592592595E-3</v>
      </c>
    </row>
    <row r="22" spans="1:6" ht="22" customHeight="1" x14ac:dyDescent="0.2">
      <c r="A22" s="39">
        <v>9</v>
      </c>
      <c r="B22" s="24" t="s">
        <v>103</v>
      </c>
      <c r="C22" s="37" t="s">
        <v>2</v>
      </c>
      <c r="D22" s="37" t="s">
        <v>3</v>
      </c>
      <c r="E22" s="24" t="s">
        <v>31</v>
      </c>
      <c r="F22" s="67">
        <v>5.9606481481481481E-3</v>
      </c>
    </row>
    <row r="23" spans="1:6" ht="22" customHeight="1" x14ac:dyDescent="0.2">
      <c r="A23" s="39">
        <v>10</v>
      </c>
      <c r="B23" s="24" t="s">
        <v>74</v>
      </c>
      <c r="C23" s="37" t="s">
        <v>2</v>
      </c>
      <c r="D23" s="37" t="s">
        <v>3</v>
      </c>
      <c r="E23" s="24" t="s">
        <v>39</v>
      </c>
      <c r="F23" s="67">
        <v>4.6874999999999998E-3</v>
      </c>
    </row>
    <row r="24" spans="1:6" x14ac:dyDescent="0.2">
      <c r="A24" s="28"/>
      <c r="B24" s="23"/>
      <c r="C24" s="30"/>
      <c r="D24" s="30"/>
      <c r="E24" s="23"/>
      <c r="F24" s="68"/>
    </row>
    <row r="25" spans="1:6" ht="22" customHeight="1" thickBot="1" x14ac:dyDescent="0.25">
      <c r="A25" s="33"/>
      <c r="B25" s="34" t="s">
        <v>247</v>
      </c>
      <c r="C25" s="35"/>
      <c r="D25" s="35"/>
      <c r="E25" s="34"/>
      <c r="F25" s="36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266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78</v>
      </c>
      <c r="C4" s="37" t="s">
        <v>2</v>
      </c>
      <c r="D4" s="37" t="s">
        <v>3</v>
      </c>
      <c r="E4" s="24" t="s">
        <v>39</v>
      </c>
      <c r="F4" s="67">
        <v>2.5810185185185185E-3</v>
      </c>
    </row>
    <row r="5" spans="1:6" ht="22" customHeight="1" x14ac:dyDescent="0.2">
      <c r="A5" s="39">
        <v>3</v>
      </c>
      <c r="B5" s="24" t="s">
        <v>85</v>
      </c>
      <c r="C5" s="37" t="s">
        <v>2</v>
      </c>
      <c r="D5" s="37" t="s">
        <v>3</v>
      </c>
      <c r="E5" s="24" t="s">
        <v>48</v>
      </c>
      <c r="F5" s="67">
        <v>1.9791666666666668E-3</v>
      </c>
    </row>
    <row r="6" spans="1:6" ht="22" customHeight="1" x14ac:dyDescent="0.2">
      <c r="A6" s="39">
        <v>4</v>
      </c>
      <c r="B6" s="24" t="s">
        <v>63</v>
      </c>
      <c r="C6" s="37" t="s">
        <v>2</v>
      </c>
      <c r="D6" s="37" t="s">
        <v>3</v>
      </c>
      <c r="E6" s="24" t="s">
        <v>31</v>
      </c>
      <c r="F6" s="67">
        <v>2.7893518518518519E-3</v>
      </c>
    </row>
    <row r="7" spans="1:6" ht="22" customHeight="1" x14ac:dyDescent="0.2">
      <c r="A7" s="39">
        <v>5</v>
      </c>
      <c r="B7" s="24" t="s">
        <v>65</v>
      </c>
      <c r="C7" s="37" t="s">
        <v>2</v>
      </c>
      <c r="D7" s="37" t="s">
        <v>3</v>
      </c>
      <c r="E7" s="24" t="s">
        <v>36</v>
      </c>
      <c r="F7" s="67">
        <v>2.488425925925926E-3</v>
      </c>
    </row>
    <row r="8" spans="1:6" ht="22" customHeight="1" x14ac:dyDescent="0.2">
      <c r="A8" s="39">
        <v>6</v>
      </c>
      <c r="B8" s="24" t="s">
        <v>94</v>
      </c>
      <c r="C8" s="37" t="s">
        <v>2</v>
      </c>
      <c r="D8" s="37" t="s">
        <v>3</v>
      </c>
      <c r="E8" s="24" t="s">
        <v>39</v>
      </c>
      <c r="F8" s="67">
        <v>3.5995370370370369E-3</v>
      </c>
    </row>
    <row r="9" spans="1:6" ht="22" customHeight="1" x14ac:dyDescent="0.2">
      <c r="A9" s="39">
        <v>7</v>
      </c>
      <c r="B9" s="24" t="s">
        <v>92</v>
      </c>
      <c r="C9" s="37" t="s">
        <v>2</v>
      </c>
      <c r="D9" s="37" t="s">
        <v>3</v>
      </c>
      <c r="E9" s="24" t="s">
        <v>36</v>
      </c>
      <c r="F9" s="67">
        <v>2.0486111111111113E-3</v>
      </c>
    </row>
    <row r="10" spans="1:6" ht="22" customHeight="1" x14ac:dyDescent="0.2">
      <c r="A10" s="39">
        <v>8</v>
      </c>
      <c r="B10" s="24" t="s">
        <v>97</v>
      </c>
      <c r="C10" s="37" t="s">
        <v>2</v>
      </c>
      <c r="D10" s="37" t="s">
        <v>3</v>
      </c>
      <c r="E10" s="24" t="s">
        <v>31</v>
      </c>
      <c r="F10" s="67">
        <v>3.2291666666666666E-3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123</v>
      </c>
      <c r="C12" s="37" t="s">
        <v>2</v>
      </c>
      <c r="D12" s="37" t="s">
        <v>3</v>
      </c>
      <c r="E12" s="24" t="s">
        <v>36</v>
      </c>
      <c r="F12" s="67">
        <v>3.3217592592592595E-3</v>
      </c>
    </row>
    <row r="13" spans="1:6" ht="22" customHeight="1" x14ac:dyDescent="0.2">
      <c r="A13" s="39">
        <v>11</v>
      </c>
      <c r="B13" s="24" t="s">
        <v>74</v>
      </c>
      <c r="C13" s="37" t="s">
        <v>2</v>
      </c>
      <c r="D13" s="37" t="s">
        <v>3</v>
      </c>
      <c r="E13" s="24" t="s">
        <v>39</v>
      </c>
      <c r="F13" s="67">
        <v>4.6874999999999998E-3</v>
      </c>
    </row>
    <row r="14" spans="1:6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247</v>
      </c>
      <c r="C15" s="35"/>
      <c r="D15" s="35"/>
      <c r="E15" s="34"/>
      <c r="F15" s="36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267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94</v>
      </c>
      <c r="C5" s="37" t="s">
        <v>2</v>
      </c>
      <c r="D5" s="37" t="s">
        <v>3</v>
      </c>
      <c r="E5" s="24" t="s">
        <v>39</v>
      </c>
      <c r="F5" s="67">
        <v>3.5995370370370369E-3</v>
      </c>
    </row>
    <row r="6" spans="1:6" ht="22" customHeight="1" x14ac:dyDescent="0.2">
      <c r="A6" s="39">
        <v>4</v>
      </c>
      <c r="B6" s="24" t="s">
        <v>65</v>
      </c>
      <c r="C6" s="37" t="s">
        <v>2</v>
      </c>
      <c r="D6" s="37" t="s">
        <v>3</v>
      </c>
      <c r="E6" s="24" t="s">
        <v>36</v>
      </c>
      <c r="F6" s="67">
        <v>2.488425925925926E-3</v>
      </c>
    </row>
    <row r="7" spans="1:6" ht="22" customHeight="1" x14ac:dyDescent="0.2">
      <c r="A7" s="39">
        <v>5</v>
      </c>
      <c r="B7" s="24" t="s">
        <v>85</v>
      </c>
      <c r="C7" s="37" t="s">
        <v>2</v>
      </c>
      <c r="D7" s="37" t="s">
        <v>3</v>
      </c>
      <c r="E7" s="24" t="s">
        <v>48</v>
      </c>
      <c r="F7" s="67">
        <v>1.9791666666666668E-3</v>
      </c>
    </row>
    <row r="8" spans="1:6" ht="22" customHeight="1" x14ac:dyDescent="0.2">
      <c r="A8" s="39">
        <v>6</v>
      </c>
      <c r="B8" s="24" t="s">
        <v>63</v>
      </c>
      <c r="C8" s="37" t="s">
        <v>2</v>
      </c>
      <c r="D8" s="37" t="s">
        <v>3</v>
      </c>
      <c r="E8" s="24" t="s">
        <v>31</v>
      </c>
      <c r="F8" s="67">
        <v>2.7893518518518519E-3</v>
      </c>
    </row>
    <row r="9" spans="1:6" ht="22" customHeight="1" x14ac:dyDescent="0.2">
      <c r="A9" s="39">
        <v>7</v>
      </c>
      <c r="B9" s="24" t="s">
        <v>250</v>
      </c>
      <c r="C9" s="37" t="s">
        <v>2</v>
      </c>
      <c r="D9" s="37" t="s">
        <v>3</v>
      </c>
      <c r="E9" s="24" t="s">
        <v>39</v>
      </c>
      <c r="F9" s="67">
        <v>2.5810185185185185E-3</v>
      </c>
    </row>
    <row r="10" spans="1:6" ht="22" customHeight="1" x14ac:dyDescent="0.2">
      <c r="A10" s="39">
        <v>8</v>
      </c>
      <c r="B10" s="24" t="s">
        <v>92</v>
      </c>
      <c r="C10" s="37" t="s">
        <v>2</v>
      </c>
      <c r="D10" s="37" t="s">
        <v>3</v>
      </c>
      <c r="E10" s="24" t="s">
        <v>36</v>
      </c>
      <c r="F10" s="67">
        <v>2.0486111111111113E-3</v>
      </c>
    </row>
    <row r="11" spans="1:6" ht="22" customHeight="1" x14ac:dyDescent="0.2">
      <c r="A11" s="39">
        <v>9</v>
      </c>
      <c r="B11" s="24" t="s">
        <v>52</v>
      </c>
      <c r="C11" s="37" t="s">
        <v>2</v>
      </c>
      <c r="D11" s="37" t="s">
        <v>3</v>
      </c>
      <c r="E11" s="24" t="s">
        <v>31</v>
      </c>
      <c r="F11" s="67">
        <f>VLOOKUP(B11,'Song Tracker'!$A$3:$F$48,6,FALSE)</f>
        <v>5.5555555555555558E-3</v>
      </c>
    </row>
    <row r="12" spans="1:6" ht="22" customHeight="1" x14ac:dyDescent="0.2">
      <c r="A12" s="39">
        <v>10</v>
      </c>
      <c r="B12" s="24" t="s">
        <v>82</v>
      </c>
      <c r="C12" s="37" t="s">
        <v>2</v>
      </c>
      <c r="D12" s="38"/>
      <c r="E12" s="24" t="s">
        <v>36</v>
      </c>
      <c r="F12" s="67">
        <v>3.8541666666666663E-3</v>
      </c>
    </row>
    <row r="13" spans="1:6" ht="22" customHeight="1" x14ac:dyDescent="0.2">
      <c r="A13" s="39">
        <v>11</v>
      </c>
      <c r="B13" s="24" t="s">
        <v>46</v>
      </c>
      <c r="C13" s="37" t="s">
        <v>2</v>
      </c>
      <c r="D13" s="37" t="s">
        <v>3</v>
      </c>
      <c r="E13" s="24" t="s">
        <v>48</v>
      </c>
      <c r="F13" s="67">
        <v>1.7476851851851852E-3</v>
      </c>
    </row>
    <row r="14" spans="1:6" ht="22" customHeight="1" x14ac:dyDescent="0.2">
      <c r="A14" s="39">
        <v>12</v>
      </c>
      <c r="B14" s="24" t="s">
        <v>101</v>
      </c>
      <c r="C14" s="37" t="s">
        <v>2</v>
      </c>
      <c r="D14" s="37" t="s">
        <v>3</v>
      </c>
      <c r="E14" s="24" t="s">
        <v>31</v>
      </c>
      <c r="F14" s="67">
        <v>4.1319444444444442E-3</v>
      </c>
    </row>
    <row r="15" spans="1:6" ht="22" customHeight="1" x14ac:dyDescent="0.2">
      <c r="A15" s="39">
        <v>13</v>
      </c>
      <c r="B15" s="24" t="s">
        <v>78</v>
      </c>
      <c r="C15" s="37" t="s">
        <v>2</v>
      </c>
      <c r="D15" s="37" t="s">
        <v>3</v>
      </c>
      <c r="E15" s="24" t="s">
        <v>39</v>
      </c>
      <c r="F15" s="67">
        <v>2.5810185185185185E-3</v>
      </c>
    </row>
    <row r="16" spans="1:6" ht="22" customHeight="1" x14ac:dyDescent="0.2">
      <c r="A16" s="39">
        <v>14</v>
      </c>
      <c r="B16" s="24" t="s">
        <v>123</v>
      </c>
      <c r="C16" s="37" t="s">
        <v>2</v>
      </c>
      <c r="D16" s="37" t="s">
        <v>3</v>
      </c>
      <c r="E16" s="24" t="s">
        <v>36</v>
      </c>
      <c r="F16" s="67">
        <v>3.3217592592592595E-3</v>
      </c>
    </row>
    <row r="17" spans="1:6" ht="22" customHeight="1" x14ac:dyDescent="0.2">
      <c r="A17" s="39">
        <v>15</v>
      </c>
      <c r="B17" s="24" t="s">
        <v>97</v>
      </c>
      <c r="C17" s="37" t="s">
        <v>2</v>
      </c>
      <c r="D17" s="37" t="s">
        <v>3</v>
      </c>
      <c r="E17" s="24" t="s">
        <v>31</v>
      </c>
      <c r="F17" s="67">
        <v>3.2291666666666666E-3</v>
      </c>
    </row>
    <row r="18" spans="1:6" ht="22" customHeight="1" x14ac:dyDescent="0.2">
      <c r="A18" s="39">
        <v>16</v>
      </c>
      <c r="B18" s="24" t="s">
        <v>103</v>
      </c>
      <c r="C18" s="37" t="s">
        <v>2</v>
      </c>
      <c r="D18" s="37" t="s">
        <v>3</v>
      </c>
      <c r="E18" s="24" t="s">
        <v>31</v>
      </c>
      <c r="F18" s="67">
        <v>5.9606481481481481E-3</v>
      </c>
    </row>
    <row r="19" spans="1:6" x14ac:dyDescent="0.2">
      <c r="A19" s="28"/>
      <c r="B19" s="23"/>
      <c r="C19" s="30"/>
      <c r="D19" s="30"/>
      <c r="E19" s="23"/>
      <c r="F19" s="68"/>
    </row>
    <row r="20" spans="1:6" ht="22" customHeight="1" thickBot="1" x14ac:dyDescent="0.25">
      <c r="A20" s="33"/>
      <c r="B20" s="34" t="s">
        <v>247</v>
      </c>
      <c r="C20" s="35"/>
      <c r="D20" s="35"/>
      <c r="E20" s="34"/>
      <c r="F20" s="36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268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127</v>
      </c>
      <c r="C4" s="37" t="s">
        <v>2</v>
      </c>
      <c r="D4" s="37" t="s">
        <v>3</v>
      </c>
      <c r="E4" s="24" t="s">
        <v>31</v>
      </c>
      <c r="F4" s="67">
        <v>2.0949074074074073E-3</v>
      </c>
    </row>
    <row r="5" spans="1:6" ht="22" customHeight="1" x14ac:dyDescent="0.2">
      <c r="A5" s="39">
        <v>3</v>
      </c>
      <c r="B5" s="24" t="s">
        <v>78</v>
      </c>
      <c r="C5" s="37" t="s">
        <v>2</v>
      </c>
      <c r="D5" s="37" t="s">
        <v>3</v>
      </c>
      <c r="E5" s="24" t="s">
        <v>39</v>
      </c>
      <c r="F5" s="67">
        <v>2.5810185185185185E-3</v>
      </c>
    </row>
    <row r="6" spans="1:6" ht="22" customHeight="1" x14ac:dyDescent="0.2">
      <c r="A6" s="39">
        <v>4</v>
      </c>
      <c r="B6" s="24" t="s">
        <v>123</v>
      </c>
      <c r="C6" s="37" t="s">
        <v>2</v>
      </c>
      <c r="D6" s="37" t="s">
        <v>3</v>
      </c>
      <c r="E6" s="24" t="s">
        <v>36</v>
      </c>
      <c r="F6" s="67">
        <v>3.3217592592592595E-3</v>
      </c>
    </row>
    <row r="7" spans="1:6" ht="22" customHeight="1" x14ac:dyDescent="0.2">
      <c r="A7" s="39">
        <v>5</v>
      </c>
      <c r="B7" s="24" t="s">
        <v>52</v>
      </c>
      <c r="C7" s="37" t="s">
        <v>2</v>
      </c>
      <c r="D7" s="37" t="s">
        <v>3</v>
      </c>
      <c r="E7" s="24" t="s">
        <v>31</v>
      </c>
      <c r="F7" s="67">
        <f>VLOOKUP(B7,'Song Tracker'!$A$3:$F$48,6,FALSE)</f>
        <v>5.5555555555555558E-3</v>
      </c>
    </row>
    <row r="8" spans="1:6" ht="22" customHeight="1" x14ac:dyDescent="0.2">
      <c r="A8" s="39">
        <v>6</v>
      </c>
      <c r="B8" s="24" t="s">
        <v>104</v>
      </c>
      <c r="C8" s="37" t="s">
        <v>2</v>
      </c>
      <c r="D8" s="37" t="s">
        <v>3</v>
      </c>
      <c r="E8" s="24" t="s">
        <v>36</v>
      </c>
      <c r="F8" s="67">
        <f>VLOOKUP(B8,'Song Tracker'!$A$3:$F$48,6,FALSE)</f>
        <v>2.4305555555555556E-3</v>
      </c>
    </row>
    <row r="9" spans="1:6" ht="22" customHeight="1" x14ac:dyDescent="0.2">
      <c r="A9" s="39">
        <v>7</v>
      </c>
      <c r="B9" s="24" t="s">
        <v>101</v>
      </c>
      <c r="C9" s="37" t="s">
        <v>2</v>
      </c>
      <c r="D9" s="37" t="s">
        <v>3</v>
      </c>
      <c r="E9" s="24" t="s">
        <v>31</v>
      </c>
      <c r="F9" s="67">
        <v>4.1319444444444442E-3</v>
      </c>
    </row>
    <row r="10" spans="1:6" ht="22" customHeight="1" x14ac:dyDescent="0.2">
      <c r="A10" s="39">
        <v>8</v>
      </c>
      <c r="B10" s="24" t="s">
        <v>74</v>
      </c>
      <c r="C10" s="37" t="s">
        <v>2</v>
      </c>
      <c r="D10" s="37" t="s">
        <v>3</v>
      </c>
      <c r="E10" s="24" t="s">
        <v>39</v>
      </c>
      <c r="F10" s="67">
        <v>4.6874999999999998E-3</v>
      </c>
    </row>
    <row r="11" spans="1:6" ht="22" customHeight="1" x14ac:dyDescent="0.2">
      <c r="A11" s="39">
        <v>9</v>
      </c>
      <c r="B11" s="24" t="s">
        <v>63</v>
      </c>
      <c r="C11" s="37" t="s">
        <v>2</v>
      </c>
      <c r="D11" s="37" t="s">
        <v>3</v>
      </c>
      <c r="E11" s="24" t="s">
        <v>31</v>
      </c>
      <c r="F11" s="67">
        <v>2.7893518518518519E-3</v>
      </c>
    </row>
    <row r="12" spans="1:6" ht="22" customHeight="1" x14ac:dyDescent="0.2">
      <c r="A12" s="39">
        <v>10</v>
      </c>
      <c r="B12" s="24" t="s">
        <v>92</v>
      </c>
      <c r="C12" s="37" t="s">
        <v>2</v>
      </c>
      <c r="D12" s="37" t="s">
        <v>3</v>
      </c>
      <c r="E12" s="24" t="s">
        <v>36</v>
      </c>
      <c r="F12" s="67">
        <v>2.0486111111111113E-3</v>
      </c>
    </row>
    <row r="13" spans="1:6" ht="22" customHeight="1" x14ac:dyDescent="0.2">
      <c r="A13" s="39">
        <v>11</v>
      </c>
      <c r="B13" s="24" t="s">
        <v>103</v>
      </c>
      <c r="C13" s="37" t="s">
        <v>2</v>
      </c>
      <c r="D13" s="37" t="s">
        <v>3</v>
      </c>
      <c r="E13" s="24" t="s">
        <v>31</v>
      </c>
      <c r="F13" s="67">
        <v>5.9606481481481481E-3</v>
      </c>
    </row>
    <row r="14" spans="1:6" ht="22" customHeight="1" x14ac:dyDescent="0.2">
      <c r="A14" s="28"/>
      <c r="B14" s="23"/>
      <c r="C14" s="30"/>
      <c r="D14" s="30"/>
      <c r="E14" s="23"/>
      <c r="F14" s="68"/>
    </row>
    <row r="15" spans="1:6" ht="22" customHeight="1" thickBot="1" x14ac:dyDescent="0.25">
      <c r="A15" s="33"/>
      <c r="B15" s="34" t="s">
        <v>247</v>
      </c>
      <c r="C15" s="35"/>
      <c r="D15" s="35"/>
      <c r="E15" s="34"/>
      <c r="F15" s="36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 x14ac:dyDescent="0.2"/>
  <cols>
    <col min="1" max="1" width="6.6640625" style="19" customWidth="1"/>
    <col min="2" max="2" width="30" customWidth="1"/>
    <col min="3" max="4" width="6.6640625" style="19" customWidth="1"/>
    <col min="5" max="5" width="16.6640625" customWidth="1"/>
    <col min="6" max="6" width="11.6640625" style="19" customWidth="1"/>
  </cols>
  <sheetData>
    <row r="1" spans="1:6" ht="28" customHeight="1" x14ac:dyDescent="0.25">
      <c r="A1" s="26" t="s">
        <v>269</v>
      </c>
      <c r="B1" s="20"/>
      <c r="C1" s="29"/>
      <c r="D1" s="29"/>
      <c r="E1" s="20"/>
      <c r="F1" s="31"/>
    </row>
    <row r="2" spans="1:6" ht="22" customHeight="1" x14ac:dyDescent="0.2">
      <c r="A2" s="27" t="s">
        <v>245</v>
      </c>
      <c r="B2" s="21" t="s">
        <v>1</v>
      </c>
      <c r="C2" s="22" t="s">
        <v>2</v>
      </c>
      <c r="D2" s="22" t="s">
        <v>3</v>
      </c>
      <c r="E2" s="21" t="s">
        <v>246</v>
      </c>
      <c r="F2" s="25" t="s">
        <v>6</v>
      </c>
    </row>
    <row r="3" spans="1:6" ht="22" customHeight="1" x14ac:dyDescent="0.2">
      <c r="A3" s="39">
        <v>1</v>
      </c>
      <c r="B3" s="24" t="s">
        <v>49</v>
      </c>
      <c r="C3" s="37" t="s">
        <v>2</v>
      </c>
      <c r="D3" s="37" t="s">
        <v>3</v>
      </c>
      <c r="E3" s="24" t="s">
        <v>31</v>
      </c>
      <c r="F3" s="67">
        <v>2.1874999999999998E-3</v>
      </c>
    </row>
    <row r="4" spans="1:6" ht="22" customHeight="1" x14ac:dyDescent="0.2">
      <c r="A4" s="39">
        <v>2</v>
      </c>
      <c r="B4" s="24" t="s">
        <v>65</v>
      </c>
      <c r="C4" s="37" t="s">
        <v>2</v>
      </c>
      <c r="D4" s="37" t="s">
        <v>3</v>
      </c>
      <c r="E4" s="24" t="s">
        <v>36</v>
      </c>
      <c r="F4" s="67">
        <v>2.488425925925926E-3</v>
      </c>
    </row>
    <row r="5" spans="1:6" ht="22" customHeight="1" x14ac:dyDescent="0.2">
      <c r="A5" s="39">
        <v>3</v>
      </c>
      <c r="B5" s="24" t="s">
        <v>96</v>
      </c>
      <c r="C5" s="37" t="s">
        <v>2</v>
      </c>
      <c r="D5" s="37" t="s">
        <v>3</v>
      </c>
      <c r="E5" s="24" t="s">
        <v>48</v>
      </c>
      <c r="F5" s="67">
        <f>VLOOKUP(B5,'Song Tracker'!$A$3:$F$48,6,FALSE)</f>
        <v>1.9675925925925924E-3</v>
      </c>
    </row>
    <row r="6" spans="1:6" ht="22" customHeight="1" x14ac:dyDescent="0.2">
      <c r="A6" s="39">
        <v>4</v>
      </c>
      <c r="B6" s="24" t="s">
        <v>52</v>
      </c>
      <c r="C6" s="37" t="s">
        <v>2</v>
      </c>
      <c r="D6" s="37" t="s">
        <v>3</v>
      </c>
      <c r="E6" s="24" t="s">
        <v>31</v>
      </c>
      <c r="F6" s="67">
        <f>VLOOKUP(B6,'Song Tracker'!$A$3:$F$48,6,FALSE)</f>
        <v>5.5555555555555558E-3</v>
      </c>
    </row>
    <row r="7" spans="1:6" ht="22" customHeight="1" x14ac:dyDescent="0.2">
      <c r="A7" s="39">
        <v>5</v>
      </c>
      <c r="B7" s="24" t="s">
        <v>46</v>
      </c>
      <c r="C7" s="37" t="s">
        <v>2</v>
      </c>
      <c r="D7" s="37" t="s">
        <v>3</v>
      </c>
      <c r="E7" s="24" t="s">
        <v>48</v>
      </c>
      <c r="F7" s="67">
        <v>1.7476851851851852E-3</v>
      </c>
    </row>
    <row r="8" spans="1:6" ht="22" customHeight="1" x14ac:dyDescent="0.2">
      <c r="A8" s="39">
        <v>6</v>
      </c>
      <c r="B8" s="24" t="s">
        <v>123</v>
      </c>
      <c r="C8" s="37" t="s">
        <v>2</v>
      </c>
      <c r="D8" s="37" t="s">
        <v>3</v>
      </c>
      <c r="E8" s="24" t="s">
        <v>36</v>
      </c>
      <c r="F8" s="67">
        <v>3.3217592592592595E-3</v>
      </c>
    </row>
    <row r="9" spans="1:6" ht="22" customHeight="1" x14ac:dyDescent="0.2">
      <c r="A9" s="39">
        <v>7</v>
      </c>
      <c r="B9" s="24" t="s">
        <v>61</v>
      </c>
      <c r="C9" s="38"/>
      <c r="D9" s="37" t="s">
        <v>3</v>
      </c>
      <c r="E9" s="24" t="s">
        <v>31</v>
      </c>
      <c r="F9" s="67">
        <f>VLOOKUP(B9,'Song Tracker'!$A$3:$F$48,6,FALSE)</f>
        <v>1.7708333333333332E-3</v>
      </c>
    </row>
    <row r="10" spans="1:6" ht="22" customHeight="1" x14ac:dyDescent="0.2">
      <c r="A10" s="39">
        <v>8</v>
      </c>
      <c r="B10" s="24" t="s">
        <v>78</v>
      </c>
      <c r="C10" s="37" t="s">
        <v>2</v>
      </c>
      <c r="D10" s="37" t="s">
        <v>3</v>
      </c>
      <c r="E10" s="24" t="s">
        <v>39</v>
      </c>
      <c r="F10" s="67">
        <v>2.5810185185185185E-3</v>
      </c>
    </row>
    <row r="11" spans="1:6" ht="22" customHeight="1" x14ac:dyDescent="0.2">
      <c r="A11" s="39">
        <v>9</v>
      </c>
      <c r="B11" s="24" t="s">
        <v>127</v>
      </c>
      <c r="C11" s="37" t="s">
        <v>2</v>
      </c>
      <c r="D11" s="37" t="s">
        <v>3</v>
      </c>
      <c r="E11" s="24" t="s">
        <v>31</v>
      </c>
      <c r="F11" s="67">
        <v>2.0949074074074073E-3</v>
      </c>
    </row>
    <row r="12" spans="1:6" ht="22" customHeight="1" x14ac:dyDescent="0.2">
      <c r="A12" s="39">
        <v>10</v>
      </c>
      <c r="B12" s="24" t="s">
        <v>74</v>
      </c>
      <c r="C12" s="37" t="s">
        <v>2</v>
      </c>
      <c r="D12" s="37" t="s">
        <v>3</v>
      </c>
      <c r="E12" s="24" t="s">
        <v>39</v>
      </c>
      <c r="F12" s="67">
        <v>4.6874999999999998E-3</v>
      </c>
    </row>
    <row r="13" spans="1:6" x14ac:dyDescent="0.2">
      <c r="A13" s="28"/>
      <c r="B13" s="23"/>
      <c r="C13" s="30"/>
      <c r="D13" s="30"/>
      <c r="E13" s="23"/>
      <c r="F13" s="68"/>
    </row>
    <row r="14" spans="1:6" ht="22" customHeight="1" thickBot="1" x14ac:dyDescent="0.25">
      <c r="A14" s="33"/>
      <c r="B14" s="34" t="s">
        <v>247</v>
      </c>
      <c r="C14" s="35"/>
      <c r="D14" s="35"/>
      <c r="E14" s="34"/>
      <c r="F14" s="36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Song Tracker</vt:lpstr>
      <vt:lpstr>Gig Tracker</vt:lpstr>
      <vt:lpstr>Potential Songs</vt:lpstr>
      <vt:lpstr>Potential Gigs</vt:lpstr>
      <vt:lpstr>Expenses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2026-05-18T19:59:40Z</dcterms:modified>
  <cp:category/>
  <cp:contentStatus/>
</cp:coreProperties>
</file>