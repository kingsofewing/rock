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4434A0E8-1EA4-0E4D-8132-5E671E428C8D}" xr6:coauthVersionLast="47" xr6:coauthVersionMax="47" xr10:uidLastSave="{00000000-0000-0000-0000-000000000000}"/>
  <bookViews>
    <workbookView xWindow="3820" yWindow="3660" windowWidth="29580" windowHeight="17160" firstSheet="5" activeTab="5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Shallot'!$A$2:$F$21</definedName>
    <definedName name="_xlnm.Print_Area" localSheetId="7">'2026-05-16 Fat Shallot'!$A$1:$F$29</definedName>
    <definedName name="_xlnm.Print_Area" localSheetId="6">'2026-06-21 Chicago Union'!$A$1:$F$19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6" l="1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1" i="9"/>
  <c r="F21" i="9" s="1"/>
  <c r="F6" i="24"/>
  <c r="F7" i="24"/>
  <c r="F10" i="24"/>
  <c r="F8" i="23"/>
  <c r="F9" i="23"/>
  <c r="F12" i="22"/>
  <c r="F21" i="22" s="1"/>
  <c r="F12" i="21"/>
  <c r="F16" i="21" s="1"/>
  <c r="F11" i="20"/>
  <c r="F12" i="20"/>
  <c r="F15" i="20"/>
  <c r="F16" i="20"/>
  <c r="F18" i="20"/>
  <c r="F11" i="19"/>
  <c r="F12" i="19"/>
  <c r="F13" i="19"/>
  <c r="F17" i="19"/>
  <c r="F18" i="19"/>
  <c r="F19" i="19"/>
  <c r="F20" i="19"/>
  <c r="F23" i="19"/>
  <c r="F29" i="19"/>
  <c r="F8" i="18"/>
  <c r="F12" i="18"/>
  <c r="F4" i="17"/>
  <c r="F11" i="17"/>
  <c r="F7" i="16"/>
  <c r="F10" i="16"/>
  <c r="F16" i="16"/>
  <c r="F7" i="15"/>
  <c r="F11" i="15"/>
  <c r="F13" i="15"/>
  <c r="F20" i="15"/>
  <c r="F26" i="15"/>
  <c r="F28" i="15"/>
  <c r="F8" i="14"/>
  <c r="F13" i="14"/>
  <c r="F15" i="14"/>
  <c r="F8" i="13"/>
  <c r="F13" i="13"/>
  <c r="F31" i="12"/>
  <c r="F34" i="12"/>
  <c r="F15" i="11"/>
  <c r="F4" i="10"/>
  <c r="F22" i="10" s="1"/>
  <c r="F19" i="7" l="1"/>
  <c r="F36" i="12"/>
  <c r="F15" i="24"/>
  <c r="F26" i="20"/>
  <c r="F19" i="14"/>
  <c r="F19" i="17"/>
  <c r="F31" i="19"/>
  <c r="F16" i="23"/>
  <c r="F18" i="13"/>
  <c r="F33" i="15"/>
  <c r="F16" i="18"/>
  <c r="F25" i="16"/>
</calcChain>
</file>

<file path=xl/sharedStrings.xml><?xml version="1.0" encoding="utf-8"?>
<sst xmlns="http://schemas.openxmlformats.org/spreadsheetml/2006/main" count="2369" uniqueCount="276">
  <si>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</si>
  <si>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</si>
  <si>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</si>
  <si>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</si>
  <si>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</si>
  <si>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</si>
  <si>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</si>
  <si>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</si>
  <si>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</si>
  <si>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</si>
  <si>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</si>
  <si>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</si>
  <si>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</si>
  <si>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</si>
  <si>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</si>
  <si>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</si>
  <si>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</si>
  <si>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</si>
  <si>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</si>
  <si>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</si>
  <si>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</si>
  <si>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</si>
  <si>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</si>
  <si>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</si>
  <si>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</si>
  <si>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</si>
  <si>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</si>
  <si>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</si>
  <si>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</si>
  <si>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</si>
  <si>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</si>
  <si>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</si>
  <si>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</si>
  <si>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</si>
  <si>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</si>
  <si>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</si>
  <si>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</si>
  <si>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</si>
  <si>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</si>
  <si>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</si>
  <si>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</si>
  <si>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</si>
  <si>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</si>
  <si>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</si>
  <si>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</si>
  <si>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</si>
  <si>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</si>
  <si>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</si>
  <si>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</si>
  <si>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</si>
  <si>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</si>
  <si>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</si>
  <si>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</si>
  <si>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</si>
  <si>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</si>
  <si>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</si>
  <si>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</si>
  <si>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</si>
  <si>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</si>
  <si>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</si>
  <si>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</si>
  <si>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</si>
  <si>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</si>
  <si>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</si>
  <si>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</si>
  <si>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</si>
  <si>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</si>
  <si>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</si>
  <si>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</si>
  <si>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</si>
  <si>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</si>
  <si>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</si>
  <si>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</si>
  <si>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</si>
  <si>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</si>
  <si>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</si>
  <si>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</si>
  <si>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</si>
  <si>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</si>
  <si>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</si>
  <si>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</si>
  <si>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</si>
  <si>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</si>
  <si>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</si>
  <si>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</si>
  <si>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</si>
  <si>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</si>
  <si>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</si>
  <si>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</si>
  <si>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</si>
  <si>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</si>
  <si>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</si>
  <si>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</si>
  <si>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</si>
  <si>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</si>
  <si>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</si>
  <si>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</si>
  <si>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</si>
  <si>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</si>
  <si>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</si>
  <si>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</si>
  <si>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</si>
  <si>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</si>
  <si>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</si>
  <si>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</si>
  <si>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</si>
  <si>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</si>
  <si>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</si>
  <si>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</si>
  <si>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</si>
  <si>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</si>
  <si>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</si>
  <si>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</si>
  <si>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</si>
  <si>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</si>
  <si>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</si>
  <si>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</si>
  <si>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</si>
  <si>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</si>
  <si>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</si>
  <si>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</si>
  <si>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</si>
  <si>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</si>
  <si>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</si>
  <si>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</si>
  <si>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</si>
  <si>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</si>
  <si>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</si>
  <si>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</si>
  <si>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</si>
  <si>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</si>
  <si>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</si>
  <si>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</si>
  <si>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</si>
  <si>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</si>
  <si>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</si>
  <si>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</si>
  <si>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</si>
  <si>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</si>
  <si>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</si>
  <si>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</si>
  <si>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</si>
  <si>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</si>
  <si>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</si>
  <si>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</si>
  <si>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</si>
  <si>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</si>
  <si>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</si>
  <si>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</si>
  <si>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</si>
  <si>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</si>
  <si>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</si>
  <si>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</si>
  <si>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</si>
  <si>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</si>
  <si>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</si>
  <si>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</si>
  <si>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</si>
  <si>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</si>
  <si>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</si>
  <si>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</si>
  <si>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</si>
  <si>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</si>
  <si>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</si>
  <si>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</si>
  <si>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</si>
  <si>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</si>
  <si>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</si>
  <si>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</si>
  <si>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</si>
  <si>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</si>
  <si>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</si>
  <si>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</si>
  <si>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</si>
  <si>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</si>
  <si>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</si>
  <si>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</si>
  <si>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</si>
  <si>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</si>
  <si>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</si>
  <si>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</si>
  <si>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</si>
  <si>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</si>
  <si>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</si>
  <si>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</si>
  <si>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</si>
  <si>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</si>
  <si>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</si>
  <si>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</si>
  <si>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</si>
  <si>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</si>
  <si>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</si>
  <si>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</si>
  <si>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</si>
  <si>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</si>
  <si>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</si>
  <si>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</si>
  <si>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</si>
  <si>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</si>
  <si>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</si>
  <si>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</si>
  <si>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</si>
  <si>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</si>
  <si>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</si>
  <si>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</si>
  <si>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</si>
  <si>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</si>
  <si>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</si>
  <si>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</si>
  <si>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</si>
  <si>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</si>
  <si>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</si>
  <si>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</si>
  <si>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</si>
  <si>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</si>
  <si>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</si>
  <si>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</si>
  <si>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</si>
  <si>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</si>
  <si>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</si>
  <si>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</si>
  <si>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</si>
  <si>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</si>
  <si>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</si>
  <si>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</si>
  <si>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</si>
  <si>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</si>
  <si>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</si>
  <si>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</si>
  <si>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</si>
  <si>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</si>
  <si>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</si>
  <si>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</si>
  <si>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</si>
  <si>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</si>
  <si>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</si>
  <si>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</si>
  <si>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</si>
  <si>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</si>
  <si>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</si>
  <si>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</si>
  <si>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#</t>
  </si>
  <si>
    <t>Vocals</t>
  </si>
  <si>
    <t>Total Set Length</t>
  </si>
  <si>
    <t>2026-05-16 — Fat Shallot — 7:00-9:00 PM</t>
  </si>
  <si>
    <t>Bohemian Like You</t>
  </si>
  <si>
    <t>BREAK</t>
  </si>
  <si>
    <t>opener</t>
  </si>
  <si>
    <t>*encore</t>
  </si>
  <si>
    <t>encore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</si>
  <si>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</si>
  <si>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</si>
  <si>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</si>
  <si>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</si>
  <si>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</si>
  <si>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</si>
  <si>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</si>
  <si>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</si>
  <si>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2026-06-24 | Ridgeville Parks District | 6:00 PM</t>
  </si>
  <si>
    <t>2026-05-14 | Fat Shallot | 5:30 PM</t>
  </si>
  <si>
    <t>2026-05-02 | Lincolnwood PTA Spring Fling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</si>
  <si>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</si>
  <si>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</si>
  <si>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</si>
  <si>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</si>
  <si>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</si>
  <si>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</si>
  <si>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2025-05-03 | Lincolnwood PTA Spring Fling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</si>
  <si>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</si>
  <si>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</si>
  <si>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</si>
  <si>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</si>
  <si>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</si>
  <si>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</si>
  <si>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</si>
  <si>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2026-06-21 | Chicago Union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</si>
</sst>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sz val="20"/>
      <color theme="1"/>
      <name val="Bradley Hand Bold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9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205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46" fontId="19" fillId="0" borderId="13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2" xfId="0" applyNumberFormat="1" applyFont="1" applyBorder="1" applyAlignment="1">
      <alignment horizontal="center" vertical="center"/>
    </xf>
    <xf numFmtId="165" fontId="16" fillId="0" borderId="12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/>
    </xf>
    <xf numFmtId="165" fontId="16" fillId="0" borderId="15" xfId="0" applyNumberFormat="1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46" fontId="19" fillId="0" borderId="18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24" xfId="0" applyNumberFormat="1" applyFont="1" applyFill="1" applyBorder="1" applyAlignment="1">
      <alignment horizontal="left" vertical="center"/>
    </xf>
    <xf numFmtId="0" fontId="18" fillId="2" borderId="26" xfId="0" applyFont="1" applyFill="1" applyBorder="1" applyAlignment="1">
      <alignment horizontal="center" vertical="center"/>
    </xf>
    <xf numFmtId="0" fontId="18" fillId="2" borderId="25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10" fillId="2" borderId="28" xfId="0" applyFont="1" applyFill="1" applyBorder="1" applyAlignment="1">
      <alignment horizontal="left" vertical="center"/>
    </xf>
    <xf numFmtId="0" fontId="10" fillId="2" borderId="29" xfId="0" applyFont="1" applyFill="1" applyBorder="1" applyAlignment="1">
      <alignment horizontal="left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32" xfId="0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/>
    </xf>
    <xf numFmtId="0" fontId="12" fillId="0" borderId="33" xfId="2" applyFont="1" applyBorder="1" applyAlignment="1">
      <alignment horizontal="left" vertical="center"/>
    </xf>
    <xf numFmtId="0" fontId="10" fillId="2" borderId="25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/>
    </xf>
    <xf numFmtId="165" fontId="20" fillId="2" borderId="24" xfId="0" applyNumberFormat="1" applyFont="1" applyFill="1" applyBorder="1" applyAlignment="1">
      <alignment horizontal="left" vertical="center"/>
    </xf>
    <xf numFmtId="0" fontId="19" fillId="2" borderId="39" xfId="0" applyFont="1" applyFill="1" applyBorder="1" applyAlignment="1">
      <alignment horizontal="left" vertical="center"/>
    </xf>
    <xf numFmtId="0" fontId="19" fillId="2" borderId="40" xfId="0" applyFont="1" applyFill="1" applyBorder="1" applyAlignment="1">
      <alignment horizontal="left" vertical="center"/>
    </xf>
    <xf numFmtId="46" fontId="19" fillId="2" borderId="41" xfId="0" applyNumberFormat="1" applyFont="1" applyFill="1" applyBorder="1" applyAlignment="1">
      <alignment horizontal="left" vertical="center"/>
    </xf>
    <xf numFmtId="0" fontId="3" fillId="4" borderId="36" xfId="0" applyFont="1" applyFill="1" applyBorder="1" applyAlignment="1">
      <alignment horizontal="left" vertical="center" wrapText="1"/>
    </xf>
    <xf numFmtId="0" fontId="10" fillId="4" borderId="37" xfId="0" applyFont="1" applyFill="1" applyBorder="1" applyAlignment="1">
      <alignment horizontal="left" vertical="center"/>
    </xf>
    <xf numFmtId="0" fontId="10" fillId="4" borderId="32" xfId="0" applyFont="1" applyFill="1" applyBorder="1" applyAlignment="1">
      <alignment horizontal="left" vertical="center"/>
    </xf>
    <xf numFmtId="165" fontId="3" fillId="4" borderId="38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2" xfId="0" applyFont="1" applyFill="1" applyBorder="1" applyAlignment="1">
      <alignment horizontal="left" vertical="center"/>
    </xf>
    <xf numFmtId="0" fontId="3" fillId="5" borderId="43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/>
    </xf>
    <xf numFmtId="0" fontId="3" fillId="2" borderId="44" xfId="0" applyFont="1" applyFill="1" applyBorder="1" applyAlignment="1">
      <alignment horizontal="left" vertical="center"/>
    </xf>
    <xf numFmtId="0" fontId="3" fillId="5" borderId="45" xfId="0" applyFont="1" applyFill="1" applyBorder="1" applyAlignment="1">
      <alignment horizontal="left" vertical="center"/>
    </xf>
    <xf numFmtId="0" fontId="3" fillId="2" borderId="45" xfId="0" applyFont="1" applyFill="1" applyBorder="1" applyAlignment="1">
      <alignment horizontal="left" vertical="center"/>
    </xf>
    <xf numFmtId="0" fontId="0" fillId="2" borderId="46" xfId="0" applyFill="1" applyBorder="1"/>
    <xf numFmtId="0" fontId="0" fillId="5" borderId="46" xfId="0" applyFill="1" applyBorder="1"/>
    <xf numFmtId="0" fontId="3" fillId="2" borderId="46" xfId="0" applyFont="1" applyFill="1" applyBorder="1" applyAlignment="1">
      <alignment horizontal="left" vertical="center"/>
    </xf>
    <xf numFmtId="0" fontId="3" fillId="5" borderId="46" xfId="0" applyFont="1" applyFill="1" applyBorder="1" applyAlignment="1">
      <alignment horizontal="left" vertical="center"/>
    </xf>
    <xf numFmtId="0" fontId="0" fillId="2" borderId="47" xfId="0" applyFill="1" applyBorder="1"/>
    <xf numFmtId="0" fontId="3" fillId="2" borderId="48" xfId="0" applyFont="1" applyFill="1" applyBorder="1" applyAlignment="1">
      <alignment horizontal="center" vertical="center"/>
    </xf>
    <xf numFmtId="0" fontId="3" fillId="5" borderId="49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3" fillId="2" borderId="46" xfId="0" applyFont="1" applyFill="1" applyBorder="1" applyAlignment="1">
      <alignment horizontal="center" vertical="center"/>
    </xf>
    <xf numFmtId="0" fontId="3" fillId="5" borderId="46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4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39" xfId="0" applyFont="1" applyBorder="1"/>
    <xf numFmtId="0" fontId="7" fillId="2" borderId="52" xfId="0" applyFont="1" applyFill="1" applyBorder="1" applyAlignment="1">
      <alignment horizontal="left"/>
    </xf>
    <xf numFmtId="0" fontId="7" fillId="2" borderId="53" xfId="0" applyFont="1" applyFill="1" applyBorder="1" applyAlignment="1">
      <alignment horizontal="left"/>
    </xf>
    <xf numFmtId="0" fontId="7" fillId="2" borderId="57" xfId="0" applyFont="1" applyFill="1" applyBorder="1" applyAlignment="1">
      <alignment horizontal="left"/>
    </xf>
    <xf numFmtId="0" fontId="7" fillId="2" borderId="60" xfId="0" applyFont="1" applyFill="1" applyBorder="1" applyAlignment="1">
      <alignment horizontal="left"/>
    </xf>
    <xf numFmtId="165" fontId="7" fillId="2" borderId="61" xfId="0" applyNumberFormat="1" applyFont="1" applyFill="1" applyBorder="1" applyAlignment="1">
      <alignment horizontal="left"/>
    </xf>
    <xf numFmtId="0" fontId="7" fillId="5" borderId="62" xfId="0" applyFont="1" applyFill="1" applyBorder="1" applyAlignment="1">
      <alignment horizontal="left"/>
    </xf>
    <xf numFmtId="165" fontId="7" fillId="2" borderId="63" xfId="0" applyNumberFormat="1" applyFont="1" applyFill="1" applyBorder="1" applyAlignment="1">
      <alignment horizontal="left"/>
    </xf>
    <xf numFmtId="0" fontId="7" fillId="2" borderId="62" xfId="0" applyFont="1" applyFill="1" applyBorder="1" applyAlignment="1">
      <alignment horizontal="left"/>
    </xf>
    <xf numFmtId="0" fontId="7" fillId="2" borderId="64" xfId="0" applyFont="1" applyFill="1" applyBorder="1" applyAlignment="1">
      <alignment horizontal="left"/>
    </xf>
    <xf numFmtId="165" fontId="7" fillId="2" borderId="38" xfId="0" applyNumberFormat="1" applyFont="1" applyFill="1" applyBorder="1" applyAlignment="1">
      <alignment horizontal="left"/>
    </xf>
    <xf numFmtId="0" fontId="19" fillId="2" borderId="58" xfId="0" applyFont="1" applyFill="1" applyBorder="1" applyAlignment="1">
      <alignment horizontal="center" vertical="center"/>
    </xf>
    <xf numFmtId="0" fontId="19" fillId="2" borderId="59" xfId="0" applyFont="1" applyFill="1" applyBorder="1" applyAlignment="1">
      <alignment horizontal="center" vertical="center"/>
    </xf>
    <xf numFmtId="0" fontId="19" fillId="2" borderId="41" xfId="0" applyFont="1" applyFill="1" applyBorder="1" applyAlignment="1">
      <alignment horizontal="center" vertical="center"/>
    </xf>
    <xf numFmtId="165" fontId="21" fillId="0" borderId="51" xfId="0" applyNumberFormat="1" applyFont="1" applyBorder="1" applyAlignment="1">
      <alignment horizontal="left"/>
    </xf>
    <xf numFmtId="0" fontId="7" fillId="2" borderId="57" xfId="2" applyFont="1" applyFill="1" applyBorder="1"/>
    <xf numFmtId="0" fontId="7" fillId="5" borderId="52" xfId="0" applyFont="1" applyFill="1" applyBorder="1" applyAlignment="1">
      <alignment horizontal="left"/>
    </xf>
    <xf numFmtId="0" fontId="7" fillId="5" borderId="52" xfId="2" applyFont="1" applyFill="1" applyBorder="1"/>
    <xf numFmtId="165" fontId="7" fillId="5" borderId="63" xfId="0" applyNumberFormat="1" applyFont="1" applyFill="1" applyBorder="1" applyAlignment="1">
      <alignment horizontal="left"/>
    </xf>
    <xf numFmtId="0" fontId="7" fillId="2" borderId="52" xfId="2" applyFont="1" applyFill="1" applyBorder="1"/>
    <xf numFmtId="0" fontId="7" fillId="2" borderId="53" xfId="2" applyFont="1" applyFill="1" applyBorder="1"/>
    <xf numFmtId="0" fontId="18" fillId="0" borderId="65" xfId="0" applyFont="1" applyBorder="1" applyAlignment="1">
      <alignment horizontal="center" vertical="center"/>
    </xf>
    <xf numFmtId="0" fontId="18" fillId="0" borderId="66" xfId="0" applyFont="1" applyBorder="1" applyAlignment="1">
      <alignment horizontal="left" vertical="center"/>
    </xf>
    <xf numFmtId="0" fontId="18" fillId="0" borderId="66" xfId="0" applyFont="1" applyBorder="1" applyAlignment="1">
      <alignment horizontal="center" vertical="center"/>
    </xf>
    <xf numFmtId="0" fontId="18" fillId="0" borderId="67" xfId="0" applyFont="1" applyBorder="1" applyAlignment="1">
      <alignment horizontal="center" vertical="center"/>
    </xf>
    <xf numFmtId="0" fontId="18" fillId="0" borderId="72" xfId="0" applyFont="1" applyBorder="1" applyAlignment="1">
      <alignment horizontal="center" vertical="center"/>
    </xf>
    <xf numFmtId="0" fontId="18" fillId="0" borderId="73" xfId="0" applyFont="1" applyBorder="1" applyAlignment="1">
      <alignment horizontal="center" vertical="center"/>
    </xf>
    <xf numFmtId="0" fontId="19" fillId="2" borderId="54" xfId="0" applyFont="1" applyFill="1" applyBorder="1" applyAlignment="1">
      <alignment horizontal="center" vertical="center"/>
    </xf>
    <xf numFmtId="0" fontId="19" fillId="2" borderId="55" xfId="0" applyFont="1" applyFill="1" applyBorder="1" applyAlignment="1">
      <alignment horizontal="center" vertical="center"/>
    </xf>
    <xf numFmtId="0" fontId="19" fillId="2" borderId="56" xfId="0" applyFont="1" applyFill="1" applyBorder="1" applyAlignment="1">
      <alignment horizontal="center" vertical="center"/>
    </xf>
    <xf numFmtId="0" fontId="21" fillId="0" borderId="50" xfId="0" applyFont="1" applyBorder="1" applyAlignment="1">
      <alignment horizontal="center"/>
    </xf>
    <xf numFmtId="0" fontId="23" fillId="0" borderId="39" xfId="0" applyFont="1" applyBorder="1" applyAlignment="1">
      <alignment horizontal="center"/>
    </xf>
    <xf numFmtId="0" fontId="22" fillId="0" borderId="50" xfId="0" applyFont="1" applyBorder="1" applyAlignment="1">
      <alignment horizontal="center"/>
    </xf>
    <xf numFmtId="0" fontId="22" fillId="0" borderId="51" xfId="0" applyFont="1" applyBorder="1" applyAlignment="1">
      <alignment horizontal="center"/>
    </xf>
    <xf numFmtId="0" fontId="23" fillId="2" borderId="71" xfId="0" applyFont="1" applyFill="1" applyBorder="1" applyAlignment="1">
      <alignment horizontal="center" vertical="center"/>
    </xf>
    <xf numFmtId="0" fontId="0" fillId="2" borderId="69" xfId="0" applyFill="1" applyBorder="1"/>
    <xf numFmtId="0" fontId="0" fillId="2" borderId="70" xfId="0" applyFill="1" applyBorder="1"/>
    <xf numFmtId="0" fontId="19" fillId="2" borderId="71" xfId="0" applyFont="1" applyFill="1" applyBorder="1" applyAlignment="1">
      <alignment horizontal="center" vertical="center"/>
    </xf>
    <xf numFmtId="0" fontId="17" fillId="2" borderId="69" xfId="0" applyFont="1" applyFill="1" applyBorder="1" applyAlignment="1">
      <alignment horizontal="center" vertical="center"/>
    </xf>
    <xf numFmtId="0" fontId="17" fillId="2" borderId="70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9" fillId="3" borderId="22" xfId="0" applyFont="1" applyFill="1" applyBorder="1" applyAlignment="1">
      <alignment horizontal="center" vertical="center"/>
    </xf>
    <xf numFmtId="0" fontId="19" fillId="3" borderId="7" xfId="0" applyFont="1" applyFill="1" applyBorder="1" applyAlignment="1">
      <alignment horizontal="center" vertical="center"/>
    </xf>
    <xf numFmtId="0" fontId="19" fillId="3" borderId="23" xfId="0" applyFont="1" applyFill="1" applyBorder="1" applyAlignment="1">
      <alignment horizontal="center" vertical="center"/>
    </xf>
    <xf numFmtId="0" fontId="19" fillId="2" borderId="76" xfId="0" applyFont="1" applyFill="1" applyBorder="1" applyAlignment="1">
      <alignment horizontal="center" vertical="center"/>
    </xf>
    <xf numFmtId="0" fontId="17" fillId="2" borderId="68" xfId="0" applyFont="1" applyFill="1" applyBorder="1" applyAlignment="1">
      <alignment horizontal="center" vertical="center"/>
    </xf>
    <xf numFmtId="0" fontId="17" fillId="2" borderId="78" xfId="0" applyFont="1" applyFill="1" applyBorder="1" applyAlignment="1">
      <alignment horizontal="center" vertical="center"/>
    </xf>
    <xf numFmtId="0" fontId="23" fillId="2" borderId="75" xfId="0" applyFont="1" applyFill="1" applyBorder="1" applyAlignment="1">
      <alignment horizontal="center" vertical="center"/>
    </xf>
    <xf numFmtId="0" fontId="0" fillId="2" borderId="74" xfId="0" applyFill="1" applyBorder="1"/>
    <xf numFmtId="0" fontId="0" fillId="2" borderId="77" xfId="0" applyFill="1" applyBorder="1"/>
    <xf numFmtId="0" fontId="7" fillId="2" borderId="27" xfId="0" applyFont="1" applyFill="1" applyBorder="1" applyAlignment="1">
      <alignment horizontal="left" vertical="center"/>
    </xf>
    <xf numFmtId="0" fontId="7" fillId="2" borderId="28" xfId="0" applyFont="1" applyFill="1" applyBorder="1" applyAlignment="1">
      <alignment horizontal="left" vertical="center"/>
    </xf>
    <xf numFmtId="0" fontId="24" fillId="2" borderId="28" xfId="0" applyFont="1" applyFill="1" applyBorder="1" applyAlignment="1">
      <alignment horizontal="left" vertical="center"/>
    </xf>
    <xf numFmtId="0" fontId="24" fillId="2" borderId="29" xfId="0" applyFont="1" applyFill="1" applyBorder="1" applyAlignment="1">
      <alignment horizontal="left" vertical="center"/>
    </xf>
    <xf numFmtId="165" fontId="7" fillId="2" borderId="30" xfId="0" applyNumberFormat="1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25" xfId="0" applyFont="1" applyFill="1" applyBorder="1" applyAlignment="1">
      <alignment horizontal="left" vertical="center"/>
    </xf>
    <xf numFmtId="0" fontId="24" fillId="2" borderId="31" xfId="0" applyFont="1" applyFill="1" applyBorder="1" applyAlignment="1">
      <alignment horizontal="left" vertical="center"/>
    </xf>
    <xf numFmtId="0" fontId="24" fillId="2" borderId="32" xfId="0" applyFont="1" applyFill="1" applyBorder="1" applyAlignment="1">
      <alignment horizontal="left" vertical="center"/>
    </xf>
    <xf numFmtId="165" fontId="7" fillId="2" borderId="24" xfId="0" applyNumberFormat="1" applyFont="1" applyFill="1" applyBorder="1" applyAlignment="1">
      <alignment horizontal="left" vertical="center"/>
    </xf>
    <xf numFmtId="0" fontId="24" fillId="2" borderId="31" xfId="2" applyFont="1" applyFill="1" applyBorder="1" applyAlignment="1">
      <alignment horizontal="left" vertical="center"/>
    </xf>
    <xf numFmtId="0" fontId="24" fillId="0" borderId="33" xfId="2" applyFont="1" applyBorder="1" applyAlignment="1">
      <alignment horizontal="left" vertical="center"/>
    </xf>
    <xf numFmtId="0" fontId="21" fillId="3" borderId="22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center" vertical="center"/>
    </xf>
    <xf numFmtId="0" fontId="24" fillId="2" borderId="25" xfId="0" applyFont="1" applyFill="1" applyBorder="1" applyAlignment="1">
      <alignment horizontal="left" vertical="center"/>
    </xf>
    <xf numFmtId="0" fontId="24" fillId="2" borderId="34" xfId="0" applyFont="1" applyFill="1" applyBorder="1" applyAlignment="1">
      <alignment horizontal="left" vertical="center"/>
    </xf>
    <xf numFmtId="0" fontId="7" fillId="2" borderId="35" xfId="0" applyFont="1" applyFill="1" applyBorder="1" applyAlignment="1">
      <alignment horizontal="left" vertical="center" wrapText="1"/>
    </xf>
    <xf numFmtId="0" fontId="7" fillId="2" borderId="35" xfId="0" applyFont="1" applyFill="1" applyBorder="1" applyAlignment="1">
      <alignment horizontal="left" vertical="center"/>
    </xf>
    <xf numFmtId="165" fontId="25" fillId="2" borderId="24" xfId="0" applyNumberFormat="1" applyFont="1" applyFill="1" applyBorder="1" applyAlignment="1">
      <alignment horizontal="left" vertical="center"/>
    </xf>
    <xf numFmtId="0" fontId="7" fillId="0" borderId="36" xfId="0" applyFont="1" applyFill="1" applyBorder="1" applyAlignment="1">
      <alignment horizontal="left" vertical="center" wrapText="1"/>
    </xf>
    <xf numFmtId="0" fontId="24" fillId="0" borderId="37" xfId="0" applyFont="1" applyFill="1" applyBorder="1" applyAlignment="1">
      <alignment horizontal="left" vertical="center"/>
    </xf>
    <xf numFmtId="0" fontId="24" fillId="0" borderId="32" xfId="0" applyFont="1" applyFill="1" applyBorder="1" applyAlignment="1">
      <alignment horizontal="left" vertical="center"/>
    </xf>
    <xf numFmtId="165" fontId="7" fillId="0" borderId="38" xfId="0" applyNumberFormat="1" applyFont="1" applyFill="1" applyBorder="1" applyAlignment="1">
      <alignment horizontal="left" vertical="center" wrapText="1"/>
    </xf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9" sqref="A19"/>
    </sheetView>
  </sheetViews>
  <sheetFormatPr baseColWidth="10" defaultColWidth="8.83203125" defaultRowHeight="15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6" width="16" customWidth="1"/>
    <col min="27" max="27" width="23.5" customWidth="1"/>
    <col min="28" max="28" width="16.83203125" customWidth="1"/>
    <col min="29" max="30" width="16.33203125" customWidth="1"/>
  </cols>
  <sheetData>
    <row r="1" spans="1:30" s="2" customFormat="1" ht="28" customHeight="1" thickTop="1" thickBot="1">
      <c r="A1" s="34" t="s">
        <v>0</v>
      </c>
      <c r="B1" s="28"/>
      <c r="C1" s="28"/>
      <c r="D1" s="28"/>
      <c r="E1" s="28"/>
      <c r="F1" s="28"/>
      <c r="G1" s="28"/>
      <c r="H1" s="28"/>
      <c r="I1" s="28"/>
      <c r="J1" s="29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</row>
    <row r="2" spans="1:30" s="3" customFormat="1" ht="56" customHeight="1" thickTop="1" thickBot="1">
      <c r="A2" s="115" t="s">
        <v>1</v>
      </c>
      <c r="B2" s="115" t="s">
        <v>2</v>
      </c>
      <c r="C2" s="115" t="s">
        <v>3</v>
      </c>
      <c r="D2" s="115" t="s">
        <v>4</v>
      </c>
      <c r="E2" s="115" t="s">
        <v>5</v>
      </c>
      <c r="F2" s="115" t="s">
        <v>6</v>
      </c>
      <c r="G2" s="115" t="s">
        <v>7</v>
      </c>
      <c r="H2" s="115" t="s">
        <v>8</v>
      </c>
      <c r="I2" s="115" t="s">
        <v>9</v>
      </c>
      <c r="J2" s="115" t="s">
        <v>10</v>
      </c>
      <c r="K2" s="115" t="s">
        <v>11</v>
      </c>
      <c r="L2" s="116" t="s">
        <v>254</v>
      </c>
      <c r="M2" s="117" t="s">
        <v>250</v>
      </c>
      <c r="N2" s="117" t="s">
        <v>257</v>
      </c>
      <c r="O2" s="118" t="s">
        <v>12</v>
      </c>
      <c r="P2" s="118" t="s">
        <v>13</v>
      </c>
      <c r="Q2" s="118" t="s">
        <v>14</v>
      </c>
      <c r="R2" s="118" t="s">
        <v>15</v>
      </c>
      <c r="S2" s="118" t="s">
        <v>16</v>
      </c>
      <c r="T2" s="118" t="s">
        <v>17</v>
      </c>
      <c r="U2" s="118" t="s">
        <v>18</v>
      </c>
      <c r="V2" s="118" t="s">
        <v>19</v>
      </c>
      <c r="W2" s="118" t="s">
        <v>20</v>
      </c>
      <c r="X2" s="118" t="s">
        <v>21</v>
      </c>
      <c r="Y2" s="118" t="s">
        <v>22</v>
      </c>
      <c r="Z2" s="118" t="s">
        <v>23</v>
      </c>
      <c r="AA2" s="118" t="s">
        <v>24</v>
      </c>
      <c r="AB2" s="118" t="s">
        <v>25</v>
      </c>
      <c r="AC2" s="118" t="s">
        <v>26</v>
      </c>
      <c r="AD2" s="118" t="s">
        <v>27</v>
      </c>
    </row>
    <row r="3" spans="1:30" ht="22" customHeight="1" thickTop="1">
      <c r="A3" s="9" t="s">
        <v>28</v>
      </c>
      <c r="B3" s="30" t="s">
        <v>2</v>
      </c>
      <c r="C3" s="30" t="s">
        <v>3</v>
      </c>
      <c r="D3" s="9" t="s">
        <v>29</v>
      </c>
      <c r="E3" s="9" t="s">
        <v>30</v>
      </c>
      <c r="F3" s="113">
        <v>2.7662037037037039E-3</v>
      </c>
      <c r="G3" s="9" t="s">
        <v>31</v>
      </c>
      <c r="H3" s="9"/>
      <c r="I3" s="9" t="s">
        <v>32</v>
      </c>
      <c r="J3" s="9" t="s">
        <v>33</v>
      </c>
      <c r="K3" s="97"/>
      <c r="L3" s="114">
        <f t="shared" ref="L3:L48" si="0">COUNTIF(M3:AD3,"✓")</f>
        <v>2</v>
      </c>
      <c r="M3" s="108"/>
      <c r="N3" s="108"/>
      <c r="O3" s="107"/>
      <c r="P3" s="100"/>
      <c r="Q3" s="9"/>
      <c r="R3" s="9"/>
      <c r="S3" s="9"/>
      <c r="T3" s="9" t="s">
        <v>32</v>
      </c>
      <c r="U3" s="9" t="s">
        <v>32</v>
      </c>
      <c r="V3" s="9"/>
      <c r="W3" s="9"/>
      <c r="X3" s="9"/>
      <c r="Y3" s="9"/>
      <c r="Z3" s="9"/>
      <c r="AA3" s="9"/>
      <c r="AB3" s="9"/>
      <c r="AC3" s="9"/>
      <c r="AD3" s="9"/>
    </row>
    <row r="4" spans="1:30" ht="22" customHeight="1">
      <c r="A4" s="90" t="s">
        <v>34</v>
      </c>
      <c r="B4" s="91" t="s">
        <v>2</v>
      </c>
      <c r="C4" s="91" t="s">
        <v>3</v>
      </c>
      <c r="D4" s="90" t="s">
        <v>35</v>
      </c>
      <c r="E4" s="92" t="s">
        <v>30</v>
      </c>
      <c r="F4" s="93">
        <v>3.9583333333333337E-3</v>
      </c>
      <c r="G4" s="90" t="s">
        <v>36</v>
      </c>
      <c r="H4" s="90"/>
      <c r="I4" s="90"/>
      <c r="J4" s="90" t="s">
        <v>37</v>
      </c>
      <c r="K4" s="98"/>
      <c r="L4" s="112">
        <f t="shared" si="0"/>
        <v>3</v>
      </c>
      <c r="M4" s="109"/>
      <c r="N4" s="109"/>
      <c r="O4" s="104"/>
      <c r="P4" s="101"/>
      <c r="Q4" s="90"/>
      <c r="R4" s="90"/>
      <c r="S4" s="90"/>
      <c r="T4" s="90"/>
      <c r="U4" s="90" t="s">
        <v>32</v>
      </c>
      <c r="V4" s="90"/>
      <c r="W4" s="90"/>
      <c r="X4" s="90"/>
      <c r="Y4" s="90" t="s">
        <v>32</v>
      </c>
      <c r="Z4" s="90" t="s">
        <v>32</v>
      </c>
      <c r="AA4" s="90"/>
      <c r="AB4" s="90"/>
      <c r="AC4" s="90"/>
      <c r="AD4" s="90"/>
    </row>
    <row r="5" spans="1:30" ht="22" customHeight="1">
      <c r="A5" s="10" t="s">
        <v>245</v>
      </c>
      <c r="B5" s="31" t="s">
        <v>2</v>
      </c>
      <c r="C5" s="30" t="s">
        <v>3</v>
      </c>
      <c r="D5" s="10" t="s">
        <v>38</v>
      </c>
      <c r="E5" s="9" t="s">
        <v>30</v>
      </c>
      <c r="F5" s="47">
        <v>2.5810185185185185E-3</v>
      </c>
      <c r="G5" s="10" t="s">
        <v>39</v>
      </c>
      <c r="H5" s="10"/>
      <c r="I5" s="10" t="s">
        <v>32</v>
      </c>
      <c r="J5" s="10" t="s">
        <v>40</v>
      </c>
      <c r="K5" s="99"/>
      <c r="L5" s="111">
        <f t="shared" si="0"/>
        <v>10</v>
      </c>
      <c r="M5" s="110" t="s">
        <v>32</v>
      </c>
      <c r="N5" s="110" t="s">
        <v>32</v>
      </c>
      <c r="O5" s="105" t="s">
        <v>32</v>
      </c>
      <c r="P5" s="102" t="s">
        <v>32</v>
      </c>
      <c r="Q5" s="10"/>
      <c r="R5" s="10" t="s">
        <v>32</v>
      </c>
      <c r="S5" s="10"/>
      <c r="T5" s="10"/>
      <c r="U5" s="10" t="s">
        <v>32</v>
      </c>
      <c r="V5" s="10"/>
      <c r="W5" s="10" t="s">
        <v>32</v>
      </c>
      <c r="X5" s="10"/>
      <c r="Y5" s="10" t="s">
        <v>32</v>
      </c>
      <c r="Z5" s="10" t="s">
        <v>32</v>
      </c>
      <c r="AA5" s="10"/>
      <c r="AB5" s="10" t="s">
        <v>32</v>
      </c>
      <c r="AC5" s="10"/>
      <c r="AD5" s="10"/>
    </row>
    <row r="6" spans="1:30" ht="22" customHeight="1">
      <c r="A6" s="90" t="s">
        <v>41</v>
      </c>
      <c r="B6" s="91" t="s">
        <v>2</v>
      </c>
      <c r="C6" s="91" t="s">
        <v>3</v>
      </c>
      <c r="D6" s="90" t="s">
        <v>42</v>
      </c>
      <c r="E6" s="92" t="s">
        <v>30</v>
      </c>
      <c r="F6" s="93">
        <v>2.7199074074074074E-3</v>
      </c>
      <c r="G6" s="90" t="s">
        <v>39</v>
      </c>
      <c r="H6" s="90"/>
      <c r="I6" s="90" t="s">
        <v>32</v>
      </c>
      <c r="J6" s="90" t="s">
        <v>43</v>
      </c>
      <c r="K6" s="98"/>
      <c r="L6" s="112">
        <f t="shared" si="0"/>
        <v>4</v>
      </c>
      <c r="M6" s="109" t="s">
        <v>32</v>
      </c>
      <c r="N6" s="109"/>
      <c r="O6" s="104"/>
      <c r="P6" s="101"/>
      <c r="Q6" s="90"/>
      <c r="R6" s="90" t="s">
        <v>32</v>
      </c>
      <c r="S6" s="90" t="s">
        <v>32</v>
      </c>
      <c r="T6" s="90"/>
      <c r="U6" s="90" t="s">
        <v>32</v>
      </c>
      <c r="V6" s="90"/>
      <c r="W6" s="90"/>
      <c r="X6" s="90"/>
      <c r="Y6" s="90"/>
      <c r="Z6" s="90"/>
      <c r="AA6" s="90"/>
      <c r="AB6" s="90"/>
      <c r="AC6" s="90"/>
      <c r="AD6" s="90"/>
    </row>
    <row r="7" spans="1:30" ht="22" customHeight="1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47">
        <v>3.414351851851852E-3</v>
      </c>
      <c r="G7" s="10" t="s">
        <v>31</v>
      </c>
      <c r="H7" s="10"/>
      <c r="I7" s="10" t="s">
        <v>32</v>
      </c>
      <c r="J7" s="10" t="s">
        <v>43</v>
      </c>
      <c r="K7" s="99"/>
      <c r="L7" s="111">
        <f t="shared" si="0"/>
        <v>6</v>
      </c>
      <c r="M7" s="110" t="s">
        <v>32</v>
      </c>
      <c r="N7" s="110" t="s">
        <v>32</v>
      </c>
      <c r="O7" s="105" t="s">
        <v>32</v>
      </c>
      <c r="P7" s="102" t="s">
        <v>32</v>
      </c>
      <c r="Q7" s="10" t="s">
        <v>32</v>
      </c>
      <c r="R7" s="10" t="s">
        <v>32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22" customHeight="1">
      <c r="A8" s="90" t="s">
        <v>46</v>
      </c>
      <c r="B8" s="91" t="s">
        <v>2</v>
      </c>
      <c r="C8" s="91" t="s">
        <v>3</v>
      </c>
      <c r="D8" s="90" t="s">
        <v>47</v>
      </c>
      <c r="E8" s="92" t="s">
        <v>30</v>
      </c>
      <c r="F8" s="93">
        <v>1.7476851851851852E-3</v>
      </c>
      <c r="G8" s="90" t="s">
        <v>48</v>
      </c>
      <c r="H8" s="92" t="s">
        <v>32</v>
      </c>
      <c r="I8" s="90" t="s">
        <v>32</v>
      </c>
      <c r="J8" s="90" t="s">
        <v>43</v>
      </c>
      <c r="K8" s="98"/>
      <c r="L8" s="112">
        <f t="shared" si="0"/>
        <v>9</v>
      </c>
      <c r="M8" s="109"/>
      <c r="N8" s="109"/>
      <c r="O8" s="104"/>
      <c r="P8" s="101"/>
      <c r="Q8" s="90"/>
      <c r="R8" s="90" t="s">
        <v>32</v>
      </c>
      <c r="S8" s="90"/>
      <c r="T8" s="90"/>
      <c r="U8" s="90" t="s">
        <v>32</v>
      </c>
      <c r="V8" s="90" t="s">
        <v>32</v>
      </c>
      <c r="W8" s="90" t="s">
        <v>32</v>
      </c>
      <c r="X8" s="90" t="s">
        <v>32</v>
      </c>
      <c r="Y8" s="90" t="s">
        <v>32</v>
      </c>
      <c r="Z8" s="90" t="s">
        <v>32</v>
      </c>
      <c r="AA8" s="90"/>
      <c r="AB8" s="90" t="s">
        <v>32</v>
      </c>
      <c r="AC8" s="90"/>
      <c r="AD8" s="90" t="s">
        <v>32</v>
      </c>
    </row>
    <row r="9" spans="1:30" ht="22" customHeight="1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47">
        <v>2.1875000000000002E-3</v>
      </c>
      <c r="G9" s="10" t="s">
        <v>31</v>
      </c>
      <c r="H9" s="10"/>
      <c r="I9" s="10" t="s">
        <v>32</v>
      </c>
      <c r="J9" s="10" t="s">
        <v>43</v>
      </c>
      <c r="K9" s="99"/>
      <c r="L9" s="111">
        <f t="shared" si="0"/>
        <v>18</v>
      </c>
      <c r="M9" s="110" t="s">
        <v>32</v>
      </c>
      <c r="N9" s="110" t="s">
        <v>32</v>
      </c>
      <c r="O9" s="105" t="s">
        <v>32</v>
      </c>
      <c r="P9" s="102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  <c r="AD9" s="10" t="s">
        <v>32</v>
      </c>
    </row>
    <row r="10" spans="1:30" ht="22" customHeight="1">
      <c r="A10" s="90" t="s">
        <v>50</v>
      </c>
      <c r="B10" s="91" t="s">
        <v>2</v>
      </c>
      <c r="C10" s="91" t="s">
        <v>3</v>
      </c>
      <c r="D10" s="90" t="s">
        <v>51</v>
      </c>
      <c r="E10" s="92" t="s">
        <v>30</v>
      </c>
      <c r="F10" s="93">
        <v>3.3449074074074076E-3</v>
      </c>
      <c r="G10" s="90" t="s">
        <v>48</v>
      </c>
      <c r="H10" s="92" t="s">
        <v>32</v>
      </c>
      <c r="I10" s="90"/>
      <c r="J10" s="90" t="s">
        <v>37</v>
      </c>
      <c r="K10" s="98"/>
      <c r="L10" s="112">
        <f t="shared" si="0"/>
        <v>1</v>
      </c>
      <c r="M10" s="109"/>
      <c r="N10" s="109"/>
      <c r="O10" s="104"/>
      <c r="P10" s="101"/>
      <c r="Q10" s="90"/>
      <c r="R10" s="90"/>
      <c r="S10" s="90"/>
      <c r="T10" s="90"/>
      <c r="U10" s="90"/>
      <c r="V10" s="90"/>
      <c r="W10" s="90"/>
      <c r="X10" s="90"/>
      <c r="Y10" s="90" t="s">
        <v>32</v>
      </c>
      <c r="Z10" s="90"/>
      <c r="AA10" s="90"/>
      <c r="AB10" s="90"/>
      <c r="AC10" s="90"/>
      <c r="AD10" s="90"/>
    </row>
    <row r="11" spans="1:30" ht="22" customHeight="1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47">
        <v>5.5555555555555558E-3</v>
      </c>
      <c r="G11" s="10" t="s">
        <v>31</v>
      </c>
      <c r="H11" s="10"/>
      <c r="I11" s="10"/>
      <c r="J11" s="10" t="s">
        <v>33</v>
      </c>
      <c r="K11" s="99"/>
      <c r="L11" s="111">
        <f t="shared" si="0"/>
        <v>9</v>
      </c>
      <c r="M11" s="110"/>
      <c r="N11" s="110"/>
      <c r="O11" s="103"/>
      <c r="P11" s="102"/>
      <c r="Q11" s="10"/>
      <c r="R11" s="10"/>
      <c r="S11" s="10"/>
      <c r="T11" s="10"/>
      <c r="U11" s="10" t="s">
        <v>32</v>
      </c>
      <c r="V11" s="10" t="s">
        <v>32</v>
      </c>
      <c r="W11" s="10"/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  <c r="AD11" s="10" t="s">
        <v>32</v>
      </c>
    </row>
    <row r="12" spans="1:30" ht="22" customHeight="1">
      <c r="A12" s="90" t="s">
        <v>54</v>
      </c>
      <c r="B12" s="91" t="s">
        <v>2</v>
      </c>
      <c r="C12" s="91" t="s">
        <v>3</v>
      </c>
      <c r="D12" s="90" t="s">
        <v>55</v>
      </c>
      <c r="E12" s="92" t="s">
        <v>30</v>
      </c>
      <c r="F12" s="93">
        <v>2.7430555555555554E-3</v>
      </c>
      <c r="G12" s="90" t="s">
        <v>39</v>
      </c>
      <c r="H12" s="90"/>
      <c r="I12" s="90" t="s">
        <v>32</v>
      </c>
      <c r="J12" s="90" t="s">
        <v>56</v>
      </c>
      <c r="K12" s="98"/>
      <c r="L12" s="112">
        <f t="shared" si="0"/>
        <v>7</v>
      </c>
      <c r="M12" s="109" t="s">
        <v>32</v>
      </c>
      <c r="N12" s="109" t="s">
        <v>32</v>
      </c>
      <c r="O12" s="106" t="s">
        <v>32</v>
      </c>
      <c r="P12" s="101" t="s">
        <v>32</v>
      </c>
      <c r="Q12" s="90" t="s">
        <v>32</v>
      </c>
      <c r="R12" s="90" t="s">
        <v>32</v>
      </c>
      <c r="S12" s="90" t="s">
        <v>32</v>
      </c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</row>
    <row r="13" spans="1:30" ht="22" customHeight="1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47">
        <v>2.3032407407407407E-3</v>
      </c>
      <c r="G13" s="10" t="s">
        <v>39</v>
      </c>
      <c r="H13" s="10"/>
      <c r="I13" s="10" t="s">
        <v>32</v>
      </c>
      <c r="J13" s="10" t="s">
        <v>60</v>
      </c>
      <c r="K13" s="99"/>
      <c r="L13" s="111">
        <f t="shared" si="0"/>
        <v>2</v>
      </c>
      <c r="M13" s="110"/>
      <c r="N13" s="110"/>
      <c r="O13" s="103"/>
      <c r="P13" s="102"/>
      <c r="Q13" s="10"/>
      <c r="R13" s="10"/>
      <c r="S13" s="10"/>
      <c r="T13" s="10"/>
      <c r="U13" s="10" t="s">
        <v>32</v>
      </c>
      <c r="V13" s="10" t="s">
        <v>32</v>
      </c>
      <c r="W13" s="10"/>
      <c r="X13" s="10"/>
      <c r="Y13" s="10"/>
      <c r="Z13" s="10"/>
      <c r="AA13" s="10"/>
      <c r="AB13" s="10"/>
      <c r="AC13" s="10"/>
      <c r="AD13" s="10"/>
    </row>
    <row r="14" spans="1:30" ht="22" customHeight="1">
      <c r="A14" s="90" t="s">
        <v>61</v>
      </c>
      <c r="B14" s="95" t="s">
        <v>2</v>
      </c>
      <c r="C14" s="91" t="s">
        <v>3</v>
      </c>
      <c r="D14" s="90" t="s">
        <v>62</v>
      </c>
      <c r="E14" s="92" t="s">
        <v>30</v>
      </c>
      <c r="F14" s="93">
        <v>1.7708333333333332E-3</v>
      </c>
      <c r="G14" s="90" t="s">
        <v>31</v>
      </c>
      <c r="H14" s="90"/>
      <c r="I14" s="90"/>
      <c r="J14" s="90" t="s">
        <v>43</v>
      </c>
      <c r="K14" s="98"/>
      <c r="L14" s="112">
        <f t="shared" si="0"/>
        <v>1</v>
      </c>
      <c r="M14" s="109"/>
      <c r="N14" s="109"/>
      <c r="O14" s="104"/>
      <c r="P14" s="101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 t="s">
        <v>32</v>
      </c>
    </row>
    <row r="15" spans="1:30" ht="22" customHeight="1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47">
        <v>2.7893518518518519E-3</v>
      </c>
      <c r="G15" s="10" t="s">
        <v>31</v>
      </c>
      <c r="H15" s="10"/>
      <c r="I15" s="10" t="s">
        <v>32</v>
      </c>
      <c r="J15" s="10" t="s">
        <v>43</v>
      </c>
      <c r="K15" s="99"/>
      <c r="L15" s="111">
        <f t="shared" si="0"/>
        <v>14</v>
      </c>
      <c r="M15" s="110" t="s">
        <v>32</v>
      </c>
      <c r="N15" s="110" t="s">
        <v>32</v>
      </c>
      <c r="O15" s="105" t="s">
        <v>32</v>
      </c>
      <c r="P15" s="102" t="s">
        <v>32</v>
      </c>
      <c r="Q15" s="10"/>
      <c r="R15" s="10" t="s">
        <v>32</v>
      </c>
      <c r="S15" s="10"/>
      <c r="T15" s="10" t="s">
        <v>32</v>
      </c>
      <c r="U15" s="10" t="s">
        <v>32</v>
      </c>
      <c r="V15" s="10" t="s">
        <v>32</v>
      </c>
      <c r="W15" s="10" t="s">
        <v>32</v>
      </c>
      <c r="X15" s="10"/>
      <c r="Y15" s="10" t="s">
        <v>32</v>
      </c>
      <c r="Z15" s="10" t="s">
        <v>32</v>
      </c>
      <c r="AA15" s="10" t="s">
        <v>32</v>
      </c>
      <c r="AB15" s="10" t="s">
        <v>32</v>
      </c>
      <c r="AC15" s="10" t="s">
        <v>32</v>
      </c>
      <c r="AD15" s="10"/>
    </row>
    <row r="16" spans="1:30" ht="22" customHeight="1">
      <c r="A16" s="90" t="s">
        <v>65</v>
      </c>
      <c r="B16" s="91" t="s">
        <v>2</v>
      </c>
      <c r="C16" s="91" t="s">
        <v>3</v>
      </c>
      <c r="D16" s="90" t="s">
        <v>66</v>
      </c>
      <c r="E16" s="92" t="s">
        <v>30</v>
      </c>
      <c r="F16" s="93">
        <v>2.488425925925926E-3</v>
      </c>
      <c r="G16" s="90" t="s">
        <v>36</v>
      </c>
      <c r="H16" s="90"/>
      <c r="I16" s="90" t="s">
        <v>32</v>
      </c>
      <c r="J16" s="90" t="s">
        <v>37</v>
      </c>
      <c r="K16" s="98"/>
      <c r="L16" s="112">
        <f t="shared" si="0"/>
        <v>8</v>
      </c>
      <c r="M16" s="109" t="s">
        <v>32</v>
      </c>
      <c r="N16" s="109"/>
      <c r="O16" s="104"/>
      <c r="P16" s="101"/>
      <c r="Q16" s="90"/>
      <c r="R16" s="90" t="s">
        <v>32</v>
      </c>
      <c r="S16" s="90"/>
      <c r="T16" s="90"/>
      <c r="U16" s="90" t="s">
        <v>32</v>
      </c>
      <c r="V16" s="90"/>
      <c r="W16" s="90"/>
      <c r="X16" s="90"/>
      <c r="Y16" s="90" t="s">
        <v>32</v>
      </c>
      <c r="Z16" s="90" t="s">
        <v>32</v>
      </c>
      <c r="AA16" s="90" t="s">
        <v>32</v>
      </c>
      <c r="AB16" s="90" t="s">
        <v>32</v>
      </c>
      <c r="AC16" s="90"/>
      <c r="AD16" s="90" t="s">
        <v>32</v>
      </c>
    </row>
    <row r="17" spans="1:30" ht="22" customHeight="1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47">
        <v>1.9328703703703704E-3</v>
      </c>
      <c r="G17" s="10" t="s">
        <v>39</v>
      </c>
      <c r="H17" s="10"/>
      <c r="I17" s="10" t="s">
        <v>32</v>
      </c>
      <c r="J17" s="10" t="s">
        <v>69</v>
      </c>
      <c r="K17" s="99"/>
      <c r="L17" s="111">
        <f t="shared" si="0"/>
        <v>1</v>
      </c>
      <c r="M17" s="110"/>
      <c r="N17" s="110"/>
      <c r="O17" s="103"/>
      <c r="P17" s="102"/>
      <c r="Q17" s="10"/>
      <c r="R17" s="10" t="s">
        <v>32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22" customHeight="1">
      <c r="A18" s="90" t="s">
        <v>70</v>
      </c>
      <c r="B18" s="91" t="s">
        <v>2</v>
      </c>
      <c r="C18" s="91" t="s">
        <v>3</v>
      </c>
      <c r="D18" s="90" t="s">
        <v>71</v>
      </c>
      <c r="E18" s="92" t="s">
        <v>30</v>
      </c>
      <c r="F18" s="93">
        <v>2.4305555555555556E-3</v>
      </c>
      <c r="G18" s="90" t="s">
        <v>31</v>
      </c>
      <c r="H18" s="90"/>
      <c r="I18" s="90" t="s">
        <v>32</v>
      </c>
      <c r="J18" s="90" t="s">
        <v>69</v>
      </c>
      <c r="K18" s="98"/>
      <c r="L18" s="112">
        <f t="shared" si="0"/>
        <v>9</v>
      </c>
      <c r="M18" s="109" t="s">
        <v>32</v>
      </c>
      <c r="N18" s="109" t="s">
        <v>32</v>
      </c>
      <c r="O18" s="106" t="s">
        <v>32</v>
      </c>
      <c r="P18" s="101" t="s">
        <v>32</v>
      </c>
      <c r="Q18" s="90"/>
      <c r="R18" s="90" t="s">
        <v>32</v>
      </c>
      <c r="S18" s="90" t="s">
        <v>32</v>
      </c>
      <c r="T18" s="90" t="s">
        <v>32</v>
      </c>
      <c r="U18" s="90" t="s">
        <v>32</v>
      </c>
      <c r="V18" s="90" t="s">
        <v>32</v>
      </c>
      <c r="W18" s="90"/>
      <c r="X18" s="90"/>
      <c r="Y18" s="90"/>
      <c r="Z18" s="90"/>
      <c r="AA18" s="90"/>
      <c r="AB18" s="90"/>
      <c r="AC18" s="90"/>
      <c r="AD18" s="90"/>
    </row>
    <row r="19" spans="1:30" ht="22" customHeight="1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47">
        <v>2.6041666666666665E-3</v>
      </c>
      <c r="G19" s="10" t="s">
        <v>36</v>
      </c>
      <c r="H19" s="10"/>
      <c r="I19" s="10" t="s">
        <v>32</v>
      </c>
      <c r="J19" s="10" t="s">
        <v>56</v>
      </c>
      <c r="K19" s="99"/>
      <c r="L19" s="111">
        <f t="shared" si="0"/>
        <v>6</v>
      </c>
      <c r="M19" s="110" t="s">
        <v>32</v>
      </c>
      <c r="N19" s="110" t="s">
        <v>32</v>
      </c>
      <c r="O19" s="105" t="s">
        <v>32</v>
      </c>
      <c r="P19" s="102" t="s">
        <v>32</v>
      </c>
      <c r="Q19" s="10" t="s">
        <v>32</v>
      </c>
      <c r="R19" s="10" t="s">
        <v>32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22" customHeight="1">
      <c r="A20" s="90" t="s">
        <v>74</v>
      </c>
      <c r="B20" s="91" t="s">
        <v>2</v>
      </c>
      <c r="C20" s="91" t="s">
        <v>3</v>
      </c>
      <c r="D20" s="90" t="s">
        <v>75</v>
      </c>
      <c r="E20" s="92" t="s">
        <v>30</v>
      </c>
      <c r="F20" s="93">
        <v>4.6874999999999998E-3</v>
      </c>
      <c r="G20" s="90" t="s">
        <v>39</v>
      </c>
      <c r="H20" s="90"/>
      <c r="I20" s="90" t="s">
        <v>32</v>
      </c>
      <c r="J20" s="90" t="s">
        <v>33</v>
      </c>
      <c r="K20" s="98"/>
      <c r="L20" s="112">
        <f t="shared" si="0"/>
        <v>9</v>
      </c>
      <c r="M20" s="109" t="s">
        <v>32</v>
      </c>
      <c r="N20" s="109"/>
      <c r="O20" s="104"/>
      <c r="P20" s="101"/>
      <c r="Q20" s="90"/>
      <c r="R20" s="90" t="s">
        <v>32</v>
      </c>
      <c r="S20" s="90"/>
      <c r="T20" s="90"/>
      <c r="U20" s="90" t="s">
        <v>32</v>
      </c>
      <c r="V20" s="90" t="s">
        <v>32</v>
      </c>
      <c r="W20" s="90"/>
      <c r="X20" s="90"/>
      <c r="Y20" s="90" t="s">
        <v>32</v>
      </c>
      <c r="Z20" s="90" t="s">
        <v>32</v>
      </c>
      <c r="AA20" s="90" t="s">
        <v>32</v>
      </c>
      <c r="AB20" s="90"/>
      <c r="AC20" s="90" t="s">
        <v>32</v>
      </c>
      <c r="AD20" s="90" t="s">
        <v>32</v>
      </c>
    </row>
    <row r="21" spans="1:30" ht="22" customHeight="1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47">
        <v>2.5115740740740741E-3</v>
      </c>
      <c r="G21" s="10" t="s">
        <v>31</v>
      </c>
      <c r="H21" s="10"/>
      <c r="I21" s="10"/>
      <c r="J21" s="10" t="s">
        <v>43</v>
      </c>
      <c r="K21" s="99"/>
      <c r="L21" s="111">
        <f t="shared" si="0"/>
        <v>1</v>
      </c>
      <c r="M21" s="110"/>
      <c r="N21" s="110"/>
      <c r="O21" s="103"/>
      <c r="P21" s="102"/>
      <c r="Q21" s="10"/>
      <c r="R21" s="10"/>
      <c r="S21" s="10"/>
      <c r="T21" s="10"/>
      <c r="U21" s="10"/>
      <c r="V21" s="10"/>
      <c r="W21" s="10"/>
      <c r="X21" s="10"/>
      <c r="Y21" s="10" t="s">
        <v>32</v>
      </c>
      <c r="Z21" s="10"/>
      <c r="AA21" s="10"/>
      <c r="AB21" s="10"/>
      <c r="AC21" s="10"/>
      <c r="AD21" s="10"/>
    </row>
    <row r="22" spans="1:30" ht="22" customHeight="1">
      <c r="A22" s="90" t="s">
        <v>78</v>
      </c>
      <c r="B22" s="91" t="s">
        <v>2</v>
      </c>
      <c r="C22" s="91" t="s">
        <v>3</v>
      </c>
      <c r="D22" s="90" t="s">
        <v>79</v>
      </c>
      <c r="E22" s="92" t="s">
        <v>30</v>
      </c>
      <c r="F22" s="93">
        <v>2.5810185185185185E-3</v>
      </c>
      <c r="G22" s="90" t="s">
        <v>39</v>
      </c>
      <c r="H22" s="90"/>
      <c r="I22" s="90" t="s">
        <v>32</v>
      </c>
      <c r="J22" s="90" t="s">
        <v>56</v>
      </c>
      <c r="K22" s="98"/>
      <c r="L22" s="112">
        <f t="shared" si="0"/>
        <v>17</v>
      </c>
      <c r="M22" s="109" t="s">
        <v>32</v>
      </c>
      <c r="N22" s="109" t="s">
        <v>32</v>
      </c>
      <c r="O22" s="106" t="s">
        <v>32</v>
      </c>
      <c r="P22" s="101" t="s">
        <v>32</v>
      </c>
      <c r="Q22" s="90" t="s">
        <v>32</v>
      </c>
      <c r="R22" s="90" t="s">
        <v>32</v>
      </c>
      <c r="S22" s="90"/>
      <c r="T22" s="90" t="s">
        <v>32</v>
      </c>
      <c r="U22" s="90" t="s">
        <v>32</v>
      </c>
      <c r="V22" s="90" t="s">
        <v>32</v>
      </c>
      <c r="W22" s="90" t="s">
        <v>32</v>
      </c>
      <c r="X22" s="90" t="s">
        <v>32</v>
      </c>
      <c r="Y22" s="90" t="s">
        <v>32</v>
      </c>
      <c r="Z22" s="90" t="s">
        <v>32</v>
      </c>
      <c r="AA22" s="90" t="s">
        <v>32</v>
      </c>
      <c r="AB22" s="90" t="s">
        <v>32</v>
      </c>
      <c r="AC22" s="90" t="s">
        <v>32</v>
      </c>
      <c r="AD22" s="90" t="s">
        <v>32</v>
      </c>
    </row>
    <row r="23" spans="1:30" ht="22" customHeight="1">
      <c r="A23" s="10" t="s">
        <v>80</v>
      </c>
      <c r="B23" s="30" t="s">
        <v>2</v>
      </c>
      <c r="C23" s="11" t="s">
        <v>3</v>
      </c>
      <c r="D23" s="10" t="s">
        <v>81</v>
      </c>
      <c r="E23" s="9" t="s">
        <v>30</v>
      </c>
      <c r="F23" s="47">
        <v>2.6041666666666665E-3</v>
      </c>
      <c r="G23" s="10" t="s">
        <v>39</v>
      </c>
      <c r="H23" s="10"/>
      <c r="I23" s="10" t="s">
        <v>32</v>
      </c>
      <c r="J23" s="10" t="s">
        <v>33</v>
      </c>
      <c r="K23" s="99"/>
      <c r="L23" s="111">
        <f t="shared" si="0"/>
        <v>8</v>
      </c>
      <c r="M23" s="110"/>
      <c r="N23" s="110"/>
      <c r="O23" s="103"/>
      <c r="P23" s="102"/>
      <c r="Q23" s="10"/>
      <c r="R23" s="10" t="s">
        <v>32</v>
      </c>
      <c r="S23" s="10"/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 t="s">
        <v>32</v>
      </c>
      <c r="AA23" s="10"/>
      <c r="AB23" s="10"/>
      <c r="AC23" s="10"/>
      <c r="AD23" s="10"/>
    </row>
    <row r="24" spans="1:30" ht="22" customHeight="1">
      <c r="A24" s="90" t="s">
        <v>82</v>
      </c>
      <c r="B24" s="91" t="s">
        <v>2</v>
      </c>
      <c r="C24" s="96"/>
      <c r="D24" s="90" t="s">
        <v>83</v>
      </c>
      <c r="E24" s="92" t="s">
        <v>30</v>
      </c>
      <c r="F24" s="93">
        <v>3.8541666666666668E-3</v>
      </c>
      <c r="G24" s="90" t="s">
        <v>36</v>
      </c>
      <c r="H24" s="90"/>
      <c r="I24" s="90" t="s">
        <v>32</v>
      </c>
      <c r="J24" s="90" t="s">
        <v>84</v>
      </c>
      <c r="K24" s="98"/>
      <c r="L24" s="112">
        <f t="shared" si="0"/>
        <v>8</v>
      </c>
      <c r="M24" s="109"/>
      <c r="N24" s="109"/>
      <c r="O24" s="106" t="s">
        <v>32</v>
      </c>
      <c r="P24" s="101"/>
      <c r="Q24" s="90"/>
      <c r="R24" s="90" t="s">
        <v>32</v>
      </c>
      <c r="S24" s="90"/>
      <c r="T24" s="90"/>
      <c r="U24" s="90" t="s">
        <v>32</v>
      </c>
      <c r="V24" s="90" t="s">
        <v>32</v>
      </c>
      <c r="W24" s="90"/>
      <c r="X24" s="90" t="s">
        <v>32</v>
      </c>
      <c r="Y24" s="90" t="s">
        <v>32</v>
      </c>
      <c r="Z24" s="90" t="s">
        <v>32</v>
      </c>
      <c r="AA24" s="90"/>
      <c r="AB24" s="90" t="s">
        <v>32</v>
      </c>
      <c r="AC24" s="90"/>
      <c r="AD24" s="90"/>
    </row>
    <row r="25" spans="1:30" ht="22" customHeight="1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47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99"/>
      <c r="L25" s="111">
        <f t="shared" si="0"/>
        <v>10</v>
      </c>
      <c r="M25" s="110" t="s">
        <v>32</v>
      </c>
      <c r="N25" s="110"/>
      <c r="O25" s="103"/>
      <c r="P25" s="8"/>
      <c r="Q25" s="10" t="s">
        <v>32</v>
      </c>
      <c r="R25" s="10" t="s">
        <v>32</v>
      </c>
      <c r="S25" s="10"/>
      <c r="T25" s="10"/>
      <c r="U25" s="10" t="s">
        <v>32</v>
      </c>
      <c r="V25" s="10" t="s">
        <v>32</v>
      </c>
      <c r="W25" s="10"/>
      <c r="X25" s="10" t="s">
        <v>32</v>
      </c>
      <c r="Y25" s="10" t="s">
        <v>32</v>
      </c>
      <c r="Z25" s="10" t="s">
        <v>32</v>
      </c>
      <c r="AA25" s="10" t="s">
        <v>32</v>
      </c>
      <c r="AB25" s="10" t="s">
        <v>32</v>
      </c>
      <c r="AC25" s="10"/>
      <c r="AD25" s="10"/>
    </row>
    <row r="26" spans="1:30" ht="22" customHeight="1">
      <c r="A26" s="90" t="s">
        <v>87</v>
      </c>
      <c r="B26" s="91" t="s">
        <v>2</v>
      </c>
      <c r="C26" s="91" t="s">
        <v>3</v>
      </c>
      <c r="D26" s="90" t="s">
        <v>88</v>
      </c>
      <c r="E26" s="92" t="s">
        <v>30</v>
      </c>
      <c r="F26" s="93">
        <v>2.650462962962963E-3</v>
      </c>
      <c r="G26" s="90" t="s">
        <v>31</v>
      </c>
      <c r="H26" s="90"/>
      <c r="I26" s="90" t="s">
        <v>32</v>
      </c>
      <c r="J26" s="90" t="s">
        <v>33</v>
      </c>
      <c r="K26" s="98"/>
      <c r="L26" s="112">
        <f t="shared" si="0"/>
        <v>1</v>
      </c>
      <c r="M26" s="109" t="s">
        <v>32</v>
      </c>
      <c r="N26" s="109"/>
      <c r="O26" s="10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</row>
    <row r="27" spans="1:30" ht="22" customHeight="1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47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99"/>
      <c r="L27" s="111">
        <f t="shared" si="0"/>
        <v>2</v>
      </c>
      <c r="M27" s="110" t="s">
        <v>32</v>
      </c>
      <c r="N27" s="110"/>
      <c r="O27" s="105"/>
      <c r="P27" s="102"/>
      <c r="Q27" s="10"/>
      <c r="R27" s="10" t="s">
        <v>32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22" customHeight="1">
      <c r="A28" s="90" t="s">
        <v>90</v>
      </c>
      <c r="B28" s="91" t="s">
        <v>2</v>
      </c>
      <c r="C28" s="91" t="s">
        <v>3</v>
      </c>
      <c r="D28" s="90" t="s">
        <v>91</v>
      </c>
      <c r="E28" s="92" t="s">
        <v>30</v>
      </c>
      <c r="F28" s="93">
        <v>2.8587962962962963E-3</v>
      </c>
      <c r="G28" s="90" t="s">
        <v>36</v>
      </c>
      <c r="H28" s="90"/>
      <c r="I28" s="90" t="s">
        <v>32</v>
      </c>
      <c r="J28" s="90" t="s">
        <v>56</v>
      </c>
      <c r="K28" s="98"/>
      <c r="L28" s="112">
        <f t="shared" si="0"/>
        <v>6</v>
      </c>
      <c r="M28" s="109" t="s">
        <v>32</v>
      </c>
      <c r="N28" s="109" t="s">
        <v>32</v>
      </c>
      <c r="O28" s="106" t="s">
        <v>32</v>
      </c>
      <c r="P28" s="101" t="s">
        <v>32</v>
      </c>
      <c r="Q28" s="90"/>
      <c r="R28" s="90" t="s">
        <v>32</v>
      </c>
      <c r="S28" s="90" t="s">
        <v>32</v>
      </c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</row>
    <row r="29" spans="1:30" ht="22" customHeight="1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47">
        <v>2.0486111111111113E-3</v>
      </c>
      <c r="G29" s="10" t="s">
        <v>36</v>
      </c>
      <c r="H29" s="10"/>
      <c r="I29" s="10" t="s">
        <v>32</v>
      </c>
      <c r="J29" s="10" t="s">
        <v>33</v>
      </c>
      <c r="K29" s="99"/>
      <c r="L29" s="111">
        <f t="shared" si="0"/>
        <v>12</v>
      </c>
      <c r="M29" s="110" t="s">
        <v>32</v>
      </c>
      <c r="N29" s="110"/>
      <c r="O29" s="103"/>
      <c r="P29" s="102"/>
      <c r="Q29" s="10"/>
      <c r="R29" s="10" t="s">
        <v>32</v>
      </c>
      <c r="S29" s="10" t="s">
        <v>32</v>
      </c>
      <c r="T29" s="10"/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 t="s">
        <v>32</v>
      </c>
      <c r="AD29" s="10"/>
    </row>
    <row r="30" spans="1:30" ht="22" customHeight="1">
      <c r="A30" s="90" t="s">
        <v>94</v>
      </c>
      <c r="B30" s="91" t="s">
        <v>2</v>
      </c>
      <c r="C30" s="91" t="s">
        <v>3</v>
      </c>
      <c r="D30" s="90" t="s">
        <v>95</v>
      </c>
      <c r="E30" s="92" t="s">
        <v>30</v>
      </c>
      <c r="F30" s="93">
        <v>3.5995370370370369E-3</v>
      </c>
      <c r="G30" s="90" t="s">
        <v>39</v>
      </c>
      <c r="H30" s="90"/>
      <c r="I30" s="90" t="s">
        <v>32</v>
      </c>
      <c r="J30" s="90" t="s">
        <v>33</v>
      </c>
      <c r="K30" s="98"/>
      <c r="L30" s="112">
        <f t="shared" si="0"/>
        <v>16</v>
      </c>
      <c r="M30" s="109" t="s">
        <v>32</v>
      </c>
      <c r="N30" s="109" t="s">
        <v>32</v>
      </c>
      <c r="O30" s="106" t="s">
        <v>32</v>
      </c>
      <c r="P30" s="101" t="s">
        <v>32</v>
      </c>
      <c r="Q30" s="90" t="s">
        <v>32</v>
      </c>
      <c r="R30" s="90" t="s">
        <v>32</v>
      </c>
      <c r="S30" s="90" t="s">
        <v>32</v>
      </c>
      <c r="T30" s="90" t="s">
        <v>32</v>
      </c>
      <c r="U30" s="90" t="s">
        <v>32</v>
      </c>
      <c r="V30" s="90" t="s">
        <v>32</v>
      </c>
      <c r="W30" s="90" t="s">
        <v>32</v>
      </c>
      <c r="X30" s="90" t="s">
        <v>32</v>
      </c>
      <c r="Y30" s="90" t="s">
        <v>32</v>
      </c>
      <c r="Z30" s="90" t="s">
        <v>32</v>
      </c>
      <c r="AA30" s="90" t="s">
        <v>32</v>
      </c>
      <c r="AB30" s="90" t="s">
        <v>32</v>
      </c>
      <c r="AC30" s="90"/>
      <c r="AD30" s="90"/>
    </row>
    <row r="31" spans="1:30" ht="22" customHeight="1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47">
        <v>1.9675925925925924E-3</v>
      </c>
      <c r="G31" s="10" t="s">
        <v>48</v>
      </c>
      <c r="H31" s="9" t="s">
        <v>32</v>
      </c>
      <c r="I31" s="10"/>
      <c r="J31" s="10" t="s">
        <v>43</v>
      </c>
      <c r="K31" s="99"/>
      <c r="L31" s="111">
        <f t="shared" si="0"/>
        <v>2</v>
      </c>
      <c r="M31" s="110"/>
      <c r="N31" s="110"/>
      <c r="O31" s="103"/>
      <c r="P31" s="102"/>
      <c r="Q31" s="10"/>
      <c r="R31" s="10"/>
      <c r="S31" s="10"/>
      <c r="T31" s="10"/>
      <c r="U31" s="10"/>
      <c r="V31" s="10"/>
      <c r="W31" s="10"/>
      <c r="X31" s="10"/>
      <c r="Y31" s="10" t="s">
        <v>32</v>
      </c>
      <c r="Z31" s="10"/>
      <c r="AA31" s="10"/>
      <c r="AB31" s="10"/>
      <c r="AC31" s="10"/>
      <c r="AD31" s="10" t="s">
        <v>32</v>
      </c>
    </row>
    <row r="32" spans="1:30" ht="22" customHeight="1">
      <c r="A32" s="90" t="s">
        <v>97</v>
      </c>
      <c r="B32" s="91" t="s">
        <v>2</v>
      </c>
      <c r="C32" s="91" t="s">
        <v>3</v>
      </c>
      <c r="D32" s="90" t="s">
        <v>98</v>
      </c>
      <c r="E32" s="92" t="s">
        <v>30</v>
      </c>
      <c r="F32" s="93">
        <v>3.2291666666666666E-3</v>
      </c>
      <c r="G32" s="90" t="s">
        <v>31</v>
      </c>
      <c r="H32" s="90"/>
      <c r="I32" s="90" t="s">
        <v>32</v>
      </c>
      <c r="J32" s="90" t="s">
        <v>33</v>
      </c>
      <c r="K32" s="98"/>
      <c r="L32" s="112">
        <f t="shared" si="0"/>
        <v>7</v>
      </c>
      <c r="M32" s="109" t="s">
        <v>32</v>
      </c>
      <c r="N32" s="109"/>
      <c r="O32" s="104"/>
      <c r="P32" s="101"/>
      <c r="Q32" s="90"/>
      <c r="R32" s="90" t="s">
        <v>32</v>
      </c>
      <c r="S32" s="90"/>
      <c r="T32" s="90"/>
      <c r="U32" s="90" t="s">
        <v>32</v>
      </c>
      <c r="V32" s="90"/>
      <c r="W32" s="90"/>
      <c r="X32" s="90"/>
      <c r="Y32" s="90" t="s">
        <v>32</v>
      </c>
      <c r="Z32" s="90" t="s">
        <v>32</v>
      </c>
      <c r="AA32" s="90" t="s">
        <v>32</v>
      </c>
      <c r="AB32" s="90" t="s">
        <v>32</v>
      </c>
      <c r="AC32" s="90"/>
      <c r="AD32" s="90"/>
    </row>
    <row r="33" spans="1:30" ht="22" customHeight="1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47">
        <v>2.9513888888888888E-3</v>
      </c>
      <c r="G33" s="10" t="s">
        <v>39</v>
      </c>
      <c r="H33" s="10"/>
      <c r="I33" s="10" t="s">
        <v>32</v>
      </c>
      <c r="J33" s="10" t="s">
        <v>69</v>
      </c>
      <c r="K33" s="99"/>
      <c r="L33" s="111">
        <f t="shared" si="0"/>
        <v>13</v>
      </c>
      <c r="M33" s="110" t="s">
        <v>32</v>
      </c>
      <c r="N33" s="110" t="s">
        <v>32</v>
      </c>
      <c r="O33" s="105" t="s">
        <v>32</v>
      </c>
      <c r="P33" s="102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 t="s">
        <v>32</v>
      </c>
      <c r="Z33" s="10"/>
      <c r="AA33" s="10"/>
      <c r="AB33" s="10"/>
      <c r="AC33" s="10"/>
      <c r="AD33" s="10"/>
    </row>
    <row r="34" spans="1:30" ht="22" customHeight="1">
      <c r="A34" s="90" t="s">
        <v>101</v>
      </c>
      <c r="B34" s="91" t="s">
        <v>2</v>
      </c>
      <c r="C34" s="91" t="s">
        <v>3</v>
      </c>
      <c r="D34" s="90" t="s">
        <v>102</v>
      </c>
      <c r="E34" s="92" t="s">
        <v>30</v>
      </c>
      <c r="F34" s="93">
        <v>4.1319444444444442E-3</v>
      </c>
      <c r="G34" s="90" t="s">
        <v>31</v>
      </c>
      <c r="H34" s="90"/>
      <c r="I34" s="90"/>
      <c r="J34" s="90" t="s">
        <v>33</v>
      </c>
      <c r="K34" s="98"/>
      <c r="L34" s="112">
        <f t="shared" si="0"/>
        <v>8</v>
      </c>
      <c r="M34" s="109"/>
      <c r="N34" s="109"/>
      <c r="O34" s="104"/>
      <c r="P34" s="101"/>
      <c r="Q34" s="90"/>
      <c r="R34" s="90" t="s">
        <v>32</v>
      </c>
      <c r="S34" s="90"/>
      <c r="T34" s="90" t="s">
        <v>32</v>
      </c>
      <c r="U34" s="90" t="s">
        <v>32</v>
      </c>
      <c r="V34" s="90" t="s">
        <v>32</v>
      </c>
      <c r="W34" s="90"/>
      <c r="X34" s="90"/>
      <c r="Y34" s="90" t="s">
        <v>32</v>
      </c>
      <c r="Z34" s="90" t="s">
        <v>32</v>
      </c>
      <c r="AA34" s="90"/>
      <c r="AB34" s="90" t="s">
        <v>32</v>
      </c>
      <c r="AC34" s="90" t="s">
        <v>32</v>
      </c>
      <c r="AD34" s="90"/>
    </row>
    <row r="35" spans="1:30" ht="22" customHeight="1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47">
        <v>5.9606481481481481E-3</v>
      </c>
      <c r="G35" s="10" t="s">
        <v>31</v>
      </c>
      <c r="H35" s="10"/>
      <c r="I35" s="10" t="s">
        <v>32</v>
      </c>
      <c r="J35" s="10" t="s">
        <v>56</v>
      </c>
      <c r="K35" s="99"/>
      <c r="L35" s="111">
        <f t="shared" si="0"/>
        <v>9</v>
      </c>
      <c r="M35" s="110" t="s">
        <v>32</v>
      </c>
      <c r="N35" s="110"/>
      <c r="O35" s="103"/>
      <c r="P35" s="102"/>
      <c r="Q35" s="10"/>
      <c r="R35" s="10" t="s">
        <v>32</v>
      </c>
      <c r="S35" s="10"/>
      <c r="T35" s="10"/>
      <c r="U35" s="10" t="s">
        <v>32</v>
      </c>
      <c r="V35" s="10" t="s">
        <v>32</v>
      </c>
      <c r="W35" s="10" t="s">
        <v>32</v>
      </c>
      <c r="X35" s="10"/>
      <c r="Y35" s="10" t="s">
        <v>32</v>
      </c>
      <c r="Z35" s="10" t="s">
        <v>32</v>
      </c>
      <c r="AA35" s="10"/>
      <c r="AB35" s="10" t="s">
        <v>32</v>
      </c>
      <c r="AC35" s="10" t="s">
        <v>32</v>
      </c>
      <c r="AD35" s="10"/>
    </row>
    <row r="36" spans="1:30" ht="22" customHeight="1">
      <c r="A36" s="90" t="s">
        <v>104</v>
      </c>
      <c r="B36" s="91" t="s">
        <v>2</v>
      </c>
      <c r="C36" s="91" t="s">
        <v>3</v>
      </c>
      <c r="D36" s="90" t="s">
        <v>105</v>
      </c>
      <c r="E36" s="92" t="s">
        <v>30</v>
      </c>
      <c r="F36" s="93">
        <v>2.4305555555555556E-3</v>
      </c>
      <c r="G36" s="90" t="s">
        <v>36</v>
      </c>
      <c r="H36" s="90"/>
      <c r="I36" s="90"/>
      <c r="J36" s="90" t="s">
        <v>40</v>
      </c>
      <c r="K36" s="98"/>
      <c r="L36" s="112">
        <f t="shared" si="0"/>
        <v>4</v>
      </c>
      <c r="M36" s="109"/>
      <c r="N36" s="109"/>
      <c r="O36" s="104"/>
      <c r="P36" s="101" t="s">
        <v>32</v>
      </c>
      <c r="Q36" s="90"/>
      <c r="R36" s="90"/>
      <c r="S36" s="90"/>
      <c r="T36" s="90"/>
      <c r="U36" s="90"/>
      <c r="V36" s="90"/>
      <c r="W36" s="90"/>
      <c r="X36" s="90"/>
      <c r="Y36" s="90" t="s">
        <v>32</v>
      </c>
      <c r="Z36" s="90" t="s">
        <v>32</v>
      </c>
      <c r="AA36" s="90"/>
      <c r="AB36" s="90"/>
      <c r="AC36" s="90" t="s">
        <v>32</v>
      </c>
      <c r="AD36" s="90"/>
    </row>
    <row r="37" spans="1:30" ht="22" customHeight="1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47">
        <v>3.3680555555555556E-3</v>
      </c>
      <c r="G37" s="10" t="s">
        <v>36</v>
      </c>
      <c r="H37" s="10"/>
      <c r="I37" s="10" t="s">
        <v>32</v>
      </c>
      <c r="J37" s="10" t="s">
        <v>56</v>
      </c>
      <c r="K37" s="99"/>
      <c r="L37" s="111">
        <f t="shared" si="0"/>
        <v>10</v>
      </c>
      <c r="M37" s="110" t="s">
        <v>32</v>
      </c>
      <c r="N37" s="110" t="s">
        <v>32</v>
      </c>
      <c r="O37" s="105" t="s">
        <v>32</v>
      </c>
      <c r="P37" s="102" t="s">
        <v>32</v>
      </c>
      <c r="Q37" s="10"/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 t="s">
        <v>32</v>
      </c>
      <c r="X37" s="10"/>
      <c r="Y37" s="10"/>
      <c r="Z37" s="10"/>
      <c r="AA37" s="10"/>
      <c r="AB37" s="10"/>
      <c r="AC37" s="10"/>
      <c r="AD37" s="10"/>
    </row>
    <row r="38" spans="1:30" ht="22" customHeight="1">
      <c r="A38" s="90" t="s">
        <v>108</v>
      </c>
      <c r="B38" s="91" t="s">
        <v>2</v>
      </c>
      <c r="C38" s="91" t="s">
        <v>3</v>
      </c>
      <c r="D38" s="90" t="s">
        <v>109</v>
      </c>
      <c r="E38" s="92" t="s">
        <v>30</v>
      </c>
      <c r="F38" s="93">
        <v>2.6041666666666665E-3</v>
      </c>
      <c r="G38" s="90" t="s">
        <v>36</v>
      </c>
      <c r="H38" s="90"/>
      <c r="I38" s="90" t="s">
        <v>32</v>
      </c>
      <c r="J38" s="90" t="s">
        <v>40</v>
      </c>
      <c r="K38" s="98"/>
      <c r="L38" s="112">
        <f t="shared" si="0"/>
        <v>5</v>
      </c>
      <c r="M38" s="109" t="s">
        <v>32</v>
      </c>
      <c r="N38" s="109"/>
      <c r="O38" s="106" t="s">
        <v>32</v>
      </c>
      <c r="P38" s="101" t="s">
        <v>32</v>
      </c>
      <c r="Q38" s="90" t="s">
        <v>32</v>
      </c>
      <c r="R38" s="90" t="s">
        <v>32</v>
      </c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spans="1:30" ht="22" customHeight="1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47">
        <v>3.472222222222222E-3</v>
      </c>
      <c r="G39" s="10" t="s">
        <v>112</v>
      </c>
      <c r="H39" s="10"/>
      <c r="I39" s="10"/>
      <c r="J39" s="10" t="s">
        <v>43</v>
      </c>
      <c r="K39" s="99"/>
      <c r="L39" s="111">
        <f t="shared" si="0"/>
        <v>2</v>
      </c>
      <c r="M39" s="110"/>
      <c r="N39" s="110"/>
      <c r="O39" s="103"/>
      <c r="P39" s="102"/>
      <c r="Q39" s="10"/>
      <c r="R39" s="10"/>
      <c r="S39" s="10"/>
      <c r="T39" s="10"/>
      <c r="U39" s="10"/>
      <c r="V39" s="10"/>
      <c r="W39" s="10"/>
      <c r="X39" s="10"/>
      <c r="Y39" s="10" t="s">
        <v>32</v>
      </c>
      <c r="Z39" s="10" t="s">
        <v>32</v>
      </c>
      <c r="AA39" s="10"/>
      <c r="AB39" s="10"/>
      <c r="AC39" s="10"/>
      <c r="AD39" s="10"/>
    </row>
    <row r="40" spans="1:30" ht="22" customHeight="1">
      <c r="A40" s="90" t="s">
        <v>113</v>
      </c>
      <c r="B40" s="91" t="s">
        <v>2</v>
      </c>
      <c r="C40" s="91" t="s">
        <v>3</v>
      </c>
      <c r="D40" s="90" t="s">
        <v>98</v>
      </c>
      <c r="E40" s="92" t="s">
        <v>30</v>
      </c>
      <c r="F40" s="93">
        <v>2.0023148148148148E-3</v>
      </c>
      <c r="G40" s="90" t="s">
        <v>31</v>
      </c>
      <c r="H40" s="90"/>
      <c r="I40" s="90"/>
      <c r="J40" s="90" t="s">
        <v>33</v>
      </c>
      <c r="K40" s="98"/>
      <c r="L40" s="112">
        <f t="shared" si="0"/>
        <v>1</v>
      </c>
      <c r="M40" s="109"/>
      <c r="N40" s="109"/>
      <c r="O40" s="104"/>
      <c r="P40" s="101"/>
      <c r="Q40" s="90"/>
      <c r="R40" s="90"/>
      <c r="S40" s="90" t="s">
        <v>32</v>
      </c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spans="1:30" ht="22" customHeight="1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47">
        <v>3.460648148148148E-3</v>
      </c>
      <c r="G41" s="10" t="s">
        <v>36</v>
      </c>
      <c r="H41" s="10"/>
      <c r="I41" s="10" t="s">
        <v>32</v>
      </c>
      <c r="J41" s="10" t="s">
        <v>69</v>
      </c>
      <c r="K41" s="99"/>
      <c r="L41" s="111">
        <f t="shared" si="0"/>
        <v>3</v>
      </c>
      <c r="M41" s="110"/>
      <c r="N41" s="110"/>
      <c r="O41" s="103"/>
      <c r="P41" s="102"/>
      <c r="Q41" s="10"/>
      <c r="R41" s="10" t="s">
        <v>32</v>
      </c>
      <c r="S41" s="10"/>
      <c r="T41" s="10"/>
      <c r="U41" s="10" t="s">
        <v>32</v>
      </c>
      <c r="V41" s="10" t="s">
        <v>32</v>
      </c>
      <c r="W41" s="10"/>
      <c r="X41" s="10"/>
      <c r="Y41" s="10"/>
      <c r="Z41" s="10"/>
      <c r="AA41" s="10"/>
      <c r="AB41" s="10"/>
      <c r="AC41" s="10"/>
      <c r="AD41" s="10"/>
    </row>
    <row r="42" spans="1:30" ht="22" customHeight="1">
      <c r="A42" s="90" t="s">
        <v>116</v>
      </c>
      <c r="B42" s="91" t="s">
        <v>2</v>
      </c>
      <c r="C42" s="91" t="s">
        <v>3</v>
      </c>
      <c r="D42" s="90" t="s">
        <v>117</v>
      </c>
      <c r="E42" s="92" t="s">
        <v>30</v>
      </c>
      <c r="F42" s="93">
        <v>2.2569444444444442E-3</v>
      </c>
      <c r="G42" s="90" t="s">
        <v>36</v>
      </c>
      <c r="H42" s="90"/>
      <c r="I42" s="90" t="s">
        <v>32</v>
      </c>
      <c r="J42" s="90" t="s">
        <v>33</v>
      </c>
      <c r="K42" s="98"/>
      <c r="L42" s="112">
        <f t="shared" si="0"/>
        <v>6</v>
      </c>
      <c r="M42" s="109" t="s">
        <v>32</v>
      </c>
      <c r="N42" s="109"/>
      <c r="O42" s="104"/>
      <c r="P42" s="101"/>
      <c r="Q42" s="90"/>
      <c r="R42" s="90" t="s">
        <v>32</v>
      </c>
      <c r="S42" s="90" t="s">
        <v>32</v>
      </c>
      <c r="T42" s="90"/>
      <c r="U42" s="90" t="s">
        <v>32</v>
      </c>
      <c r="V42" s="90" t="s">
        <v>32</v>
      </c>
      <c r="W42" s="90" t="s">
        <v>32</v>
      </c>
      <c r="X42" s="90"/>
      <c r="Y42" s="90"/>
      <c r="Z42" s="90"/>
      <c r="AA42" s="90"/>
      <c r="AB42" s="90"/>
      <c r="AC42" s="90"/>
      <c r="AD42" s="90"/>
    </row>
    <row r="43" spans="1:30" ht="22" customHeight="1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47">
        <v>3.472222222222222E-3</v>
      </c>
      <c r="G43" s="10" t="s">
        <v>36</v>
      </c>
      <c r="H43" s="10"/>
      <c r="I43" s="10"/>
      <c r="J43" s="10" t="s">
        <v>43</v>
      </c>
      <c r="K43" s="99"/>
      <c r="L43" s="111">
        <f t="shared" si="0"/>
        <v>2</v>
      </c>
      <c r="M43" s="110"/>
      <c r="N43" s="110"/>
      <c r="O43" s="103"/>
      <c r="P43" s="102"/>
      <c r="Q43" s="10"/>
      <c r="R43" s="10" t="s">
        <v>32</v>
      </c>
      <c r="S43" s="10"/>
      <c r="T43" s="10"/>
      <c r="U43" s="10"/>
      <c r="V43" s="10"/>
      <c r="W43" s="10"/>
      <c r="X43" s="10"/>
      <c r="Y43" s="10" t="s">
        <v>32</v>
      </c>
      <c r="Z43" s="10"/>
      <c r="AA43" s="10"/>
      <c r="AB43" s="10"/>
      <c r="AC43" s="10"/>
      <c r="AD43" s="10"/>
    </row>
    <row r="44" spans="1:30" ht="22" customHeight="1">
      <c r="A44" s="90" t="s">
        <v>120</v>
      </c>
      <c r="B44" s="91" t="s">
        <v>2</v>
      </c>
      <c r="C44" s="91" t="s">
        <v>3</v>
      </c>
      <c r="D44" s="90" t="s">
        <v>53</v>
      </c>
      <c r="E44" s="92" t="s">
        <v>30</v>
      </c>
      <c r="F44" s="93">
        <v>2.0833333333333333E-3</v>
      </c>
      <c r="G44" s="90" t="s">
        <v>31</v>
      </c>
      <c r="H44" s="90"/>
      <c r="I44" s="90" t="s">
        <v>32</v>
      </c>
      <c r="J44" s="90" t="s">
        <v>33</v>
      </c>
      <c r="K44" s="98"/>
      <c r="L44" s="112">
        <f t="shared" si="0"/>
        <v>5</v>
      </c>
      <c r="M44" s="109" t="s">
        <v>32</v>
      </c>
      <c r="N44" s="109"/>
      <c r="O44" s="104"/>
      <c r="P44" s="101"/>
      <c r="Q44" s="90"/>
      <c r="R44" s="90"/>
      <c r="S44" s="90" t="s">
        <v>32</v>
      </c>
      <c r="T44" s="90" t="s">
        <v>32</v>
      </c>
      <c r="U44" s="90" t="s">
        <v>32</v>
      </c>
      <c r="V44" s="90"/>
      <c r="W44" s="90" t="s">
        <v>32</v>
      </c>
      <c r="X44" s="90"/>
      <c r="Y44" s="90"/>
      <c r="Z44" s="90"/>
      <c r="AA44" s="90"/>
      <c r="AB44" s="90"/>
      <c r="AC44" s="90"/>
      <c r="AD44" s="90"/>
    </row>
    <row r="45" spans="1:30" ht="22" customHeight="1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47">
        <v>3.1250000000000002E-3</v>
      </c>
      <c r="G45" s="10" t="s">
        <v>31</v>
      </c>
      <c r="H45" s="10"/>
      <c r="I45" s="10"/>
      <c r="J45" s="10" t="s">
        <v>33</v>
      </c>
      <c r="K45" s="99" t="s">
        <v>32</v>
      </c>
      <c r="L45" s="111">
        <f t="shared" si="0"/>
        <v>0</v>
      </c>
      <c r="M45" s="110"/>
      <c r="N45" s="110"/>
      <c r="O45" s="103"/>
      <c r="P45" s="102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22" customHeight="1">
      <c r="A46" s="90" t="s">
        <v>123</v>
      </c>
      <c r="B46" s="91" t="s">
        <v>2</v>
      </c>
      <c r="C46" s="91" t="s">
        <v>3</v>
      </c>
      <c r="D46" s="90" t="s">
        <v>93</v>
      </c>
      <c r="E46" s="92" t="s">
        <v>30</v>
      </c>
      <c r="F46" s="93">
        <v>3.3217592592592591E-3</v>
      </c>
      <c r="G46" s="90" t="s">
        <v>36</v>
      </c>
      <c r="H46" s="90"/>
      <c r="I46" s="90" t="s">
        <v>32</v>
      </c>
      <c r="J46" s="90" t="s">
        <v>33</v>
      </c>
      <c r="K46" s="98"/>
      <c r="L46" s="112">
        <f t="shared" si="0"/>
        <v>18</v>
      </c>
      <c r="M46" s="109" t="s">
        <v>32</v>
      </c>
      <c r="N46" s="109" t="s">
        <v>32</v>
      </c>
      <c r="O46" s="106" t="s">
        <v>32</v>
      </c>
      <c r="P46" s="101" t="s">
        <v>32</v>
      </c>
      <c r="Q46" s="90" t="s">
        <v>32</v>
      </c>
      <c r="R46" s="90" t="s">
        <v>32</v>
      </c>
      <c r="S46" s="90" t="s">
        <v>32</v>
      </c>
      <c r="T46" s="90" t="s">
        <v>32</v>
      </c>
      <c r="U46" s="90" t="s">
        <v>32</v>
      </c>
      <c r="V46" s="90" t="s">
        <v>32</v>
      </c>
      <c r="W46" s="90" t="s">
        <v>32</v>
      </c>
      <c r="X46" s="90" t="s">
        <v>32</v>
      </c>
      <c r="Y46" s="90" t="s">
        <v>32</v>
      </c>
      <c r="Z46" s="90" t="s">
        <v>32</v>
      </c>
      <c r="AA46" s="90" t="s">
        <v>32</v>
      </c>
      <c r="AB46" s="90" t="s">
        <v>32</v>
      </c>
      <c r="AC46" s="90" t="s">
        <v>32</v>
      </c>
      <c r="AD46" s="90" t="s">
        <v>32</v>
      </c>
    </row>
    <row r="47" spans="1:30" ht="22" customHeight="1">
      <c r="A47" s="10" t="s">
        <v>124</v>
      </c>
      <c r="B47" s="32"/>
      <c r="C47" s="32"/>
      <c r="D47" s="10" t="s">
        <v>125</v>
      </c>
      <c r="E47" s="9" t="s">
        <v>30</v>
      </c>
      <c r="F47" s="47"/>
      <c r="G47" s="10" t="s">
        <v>126</v>
      </c>
      <c r="H47" s="10"/>
      <c r="I47" s="10"/>
      <c r="J47" s="10" t="s">
        <v>33</v>
      </c>
      <c r="K47" s="99"/>
      <c r="L47" s="111">
        <f t="shared" si="0"/>
        <v>1</v>
      </c>
      <c r="M47" s="110"/>
      <c r="N47" s="110"/>
      <c r="O47" s="103"/>
      <c r="P47" s="102"/>
      <c r="Q47" s="10"/>
      <c r="R47" s="10"/>
      <c r="S47" s="10"/>
      <c r="T47" s="10" t="s">
        <v>32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 spans="1:30" ht="17" customHeight="1">
      <c r="A48" s="90" t="s">
        <v>127</v>
      </c>
      <c r="B48" s="91" t="s">
        <v>2</v>
      </c>
      <c r="C48" s="91" t="s">
        <v>3</v>
      </c>
      <c r="D48" s="90" t="s">
        <v>128</v>
      </c>
      <c r="E48" s="92" t="s">
        <v>30</v>
      </c>
      <c r="F48" s="93">
        <v>2.0949074074074073E-3</v>
      </c>
      <c r="G48" s="90" t="s">
        <v>31</v>
      </c>
      <c r="H48" s="90"/>
      <c r="I48" s="90" t="s">
        <v>32</v>
      </c>
      <c r="J48" s="90" t="s">
        <v>56</v>
      </c>
      <c r="K48" s="98"/>
      <c r="L48" s="112">
        <f t="shared" si="0"/>
        <v>12</v>
      </c>
      <c r="M48" s="109" t="s">
        <v>32</v>
      </c>
      <c r="N48" s="109" t="s">
        <v>32</v>
      </c>
      <c r="O48" s="106" t="s">
        <v>32</v>
      </c>
      <c r="P48" s="101" t="s">
        <v>32</v>
      </c>
      <c r="Q48" s="90"/>
      <c r="R48" s="90" t="s">
        <v>32</v>
      </c>
      <c r="S48" s="90"/>
      <c r="T48" s="90" t="s">
        <v>32</v>
      </c>
      <c r="U48" s="90" t="s">
        <v>32</v>
      </c>
      <c r="V48" s="90"/>
      <c r="W48" s="90"/>
      <c r="X48" s="90"/>
      <c r="Y48" s="90" t="s">
        <v>32</v>
      </c>
      <c r="Z48" s="90" t="s">
        <v>32</v>
      </c>
      <c r="AA48" s="90"/>
      <c r="AB48" s="90" t="s">
        <v>32</v>
      </c>
      <c r="AC48" s="90" t="s">
        <v>32</v>
      </c>
      <c r="AD48" s="90" t="s">
        <v>32</v>
      </c>
    </row>
    <row r="49" spans="1:30">
      <c r="A49" s="8"/>
      <c r="B49" s="8"/>
      <c r="C49" s="8"/>
      <c r="D49" s="33"/>
      <c r="E49" s="3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>
      <c r="A1" s="34" t="s">
        <v>129</v>
      </c>
      <c r="B1" s="28"/>
      <c r="C1" s="28"/>
      <c r="D1" s="28"/>
      <c r="E1" s="28"/>
      <c r="F1" s="28"/>
      <c r="G1" s="28"/>
      <c r="H1" s="28"/>
      <c r="I1" s="28"/>
      <c r="J1" s="28"/>
      <c r="K1" s="40"/>
      <c r="L1" s="28"/>
    </row>
    <row r="2" spans="1:12" s="2" customFormat="1" ht="22" customHeight="1" thickTop="1" thickBot="1">
      <c r="A2" s="41" t="s">
        <v>130</v>
      </c>
      <c r="B2" s="42" t="s">
        <v>131</v>
      </c>
      <c r="C2" s="41" t="s">
        <v>132</v>
      </c>
      <c r="D2" s="41" t="s">
        <v>133</v>
      </c>
      <c r="E2" s="41" t="s">
        <v>134</v>
      </c>
      <c r="F2" s="42" t="s">
        <v>135</v>
      </c>
      <c r="G2" s="41" t="s">
        <v>136</v>
      </c>
      <c r="H2" s="41" t="s">
        <v>137</v>
      </c>
      <c r="I2" s="41" t="s">
        <v>138</v>
      </c>
      <c r="J2" s="41" t="s">
        <v>139</v>
      </c>
      <c r="K2" s="43" t="s">
        <v>140</v>
      </c>
      <c r="L2" s="41" t="s">
        <v>141</v>
      </c>
    </row>
    <row r="3" spans="1:12" ht="22" customHeight="1" thickTop="1">
      <c r="A3" s="86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44"/>
      <c r="L3" s="9"/>
    </row>
    <row r="4" spans="1:12" ht="22" customHeight="1">
      <c r="A4" s="86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45"/>
      <c r="L4" s="10"/>
    </row>
    <row r="5" spans="1:12" ht="22" customHeight="1">
      <c r="A5" s="86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45"/>
      <c r="L5" s="10"/>
    </row>
    <row r="6" spans="1:12" ht="22" customHeight="1">
      <c r="A6" s="86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45">
        <v>100</v>
      </c>
      <c r="L6" s="10"/>
    </row>
    <row r="7" spans="1:12" ht="22" customHeight="1">
      <c r="A7" s="86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45"/>
      <c r="L7" s="10"/>
    </row>
    <row r="8" spans="1:12" ht="22" customHeight="1">
      <c r="A8" s="86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45"/>
      <c r="L8" s="10"/>
    </row>
    <row r="9" spans="1:12" ht="22" customHeight="1">
      <c r="A9" s="86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45"/>
      <c r="L9" s="10"/>
    </row>
    <row r="10" spans="1:12" ht="22" customHeight="1">
      <c r="A10" s="86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45"/>
      <c r="L10" s="10"/>
    </row>
    <row r="11" spans="1:12" ht="22" customHeight="1">
      <c r="A11" s="86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45"/>
      <c r="L11" s="10"/>
    </row>
    <row r="12" spans="1:12" ht="22" customHeight="1">
      <c r="A12" s="86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45"/>
      <c r="L12" s="10"/>
    </row>
    <row r="13" spans="1:12" ht="22" customHeight="1">
      <c r="A13" s="86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45"/>
      <c r="L13" s="10"/>
    </row>
    <row r="14" spans="1:12" ht="22" customHeight="1">
      <c r="A14" s="87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45"/>
      <c r="L14" s="10" t="s">
        <v>171</v>
      </c>
    </row>
    <row r="15" spans="1:12" ht="22" customHeight="1">
      <c r="A15" s="86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45"/>
      <c r="L15" s="10"/>
    </row>
    <row r="16" spans="1:12" ht="22" customHeight="1">
      <c r="A16" s="86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45"/>
      <c r="L16" s="10"/>
    </row>
    <row r="17" spans="1:12" ht="22" customHeight="1">
      <c r="A17" s="86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45"/>
      <c r="L17" s="10"/>
    </row>
    <row r="18" spans="1:12" ht="22" customHeight="1">
      <c r="A18" s="86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45"/>
      <c r="L18" s="10"/>
    </row>
    <row r="19" spans="1:12" ht="22" customHeight="1">
      <c r="A19" s="86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45"/>
      <c r="L19" s="10"/>
    </row>
    <row r="20" spans="1:12" ht="22" customHeight="1">
      <c r="A20" s="86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45">
        <v>250</v>
      </c>
      <c r="L20" s="10"/>
    </row>
    <row r="21" spans="1:12" ht="22" customHeight="1">
      <c r="A21" s="88">
        <v>46194</v>
      </c>
      <c r="B21" s="58">
        <v>0.70833333333333337</v>
      </c>
      <c r="C21" s="10" t="s">
        <v>154</v>
      </c>
      <c r="D21" s="10" t="s">
        <v>155</v>
      </c>
      <c r="E21" s="10">
        <v>15</v>
      </c>
      <c r="F21" s="14">
        <v>60</v>
      </c>
      <c r="G21" s="10" t="s">
        <v>156</v>
      </c>
      <c r="H21" s="10" t="s">
        <v>157</v>
      </c>
      <c r="I21" s="10"/>
      <c r="J21" s="10"/>
      <c r="K21" s="45"/>
      <c r="L21" s="10"/>
    </row>
    <row r="22" spans="1:12" ht="22" customHeight="1">
      <c r="A22" s="88">
        <v>46197</v>
      </c>
      <c r="B22" s="58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45"/>
      <c r="L22" s="10"/>
    </row>
    <row r="23" spans="1:12" ht="22" customHeight="1">
      <c r="A23" s="89"/>
    </row>
    <row r="24" spans="1:12">
      <c r="A24" s="1"/>
    </row>
    <row r="25" spans="1:12">
      <c r="A25" s="1"/>
    </row>
    <row r="26" spans="1:12">
      <c r="A26" s="1"/>
    </row>
    <row r="27" spans="1:12">
      <c r="A27" s="1"/>
    </row>
    <row r="28" spans="1:12">
      <c r="A28" s="1"/>
    </row>
    <row r="29" spans="1:12">
      <c r="A29" s="1"/>
    </row>
    <row r="30" spans="1:1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>
      <c r="A1" s="34" t="s">
        <v>197</v>
      </c>
      <c r="B1" s="35"/>
      <c r="C1" s="35"/>
      <c r="D1" s="35"/>
      <c r="E1" s="35"/>
      <c r="F1" s="35"/>
      <c r="G1" s="35"/>
      <c r="H1" s="35"/>
    </row>
    <row r="2" spans="1:8" s="7" customFormat="1" ht="28" customHeight="1" thickTop="1" thickBot="1">
      <c r="A2" s="34" t="s">
        <v>198</v>
      </c>
      <c r="B2" s="36" t="s">
        <v>199</v>
      </c>
      <c r="C2" s="36" t="s">
        <v>200</v>
      </c>
      <c r="D2" s="36" t="s">
        <v>201</v>
      </c>
      <c r="E2" s="36" t="s">
        <v>202</v>
      </c>
      <c r="F2" s="36" t="s">
        <v>203</v>
      </c>
      <c r="G2" s="36"/>
      <c r="H2" s="36"/>
    </row>
    <row r="3" spans="1:8" ht="20" customHeight="1" thickTop="1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>
      <c r="A4" s="10" t="s">
        <v>207</v>
      </c>
      <c r="B4" s="10" t="s">
        <v>208</v>
      </c>
      <c r="C4" s="10" t="s">
        <v>253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>
      <c r="A8" s="6" t="s">
        <v>251</v>
      </c>
      <c r="B8" s="6" t="s">
        <v>252</v>
      </c>
      <c r="C8" s="6" t="s">
        <v>48</v>
      </c>
      <c r="D8" s="6"/>
      <c r="E8" s="6"/>
      <c r="F8" s="6"/>
      <c r="G8" s="6"/>
      <c r="H8" s="6"/>
    </row>
    <row r="9" spans="1:8" ht="17" customHeight="1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>
      <c r="A1" s="37" t="s">
        <v>221</v>
      </c>
      <c r="B1" s="38"/>
      <c r="C1" s="38"/>
      <c r="D1" s="38"/>
      <c r="E1" s="38"/>
      <c r="F1" s="38"/>
      <c r="G1" s="38"/>
    </row>
    <row r="2" spans="1:7" s="4" customFormat="1" ht="22" customHeight="1" thickTop="1" thickBot="1">
      <c r="A2" s="39" t="s">
        <v>132</v>
      </c>
      <c r="B2" s="39" t="s">
        <v>222</v>
      </c>
      <c r="C2" s="39" t="s">
        <v>223</v>
      </c>
      <c r="D2" s="39" t="s">
        <v>224</v>
      </c>
      <c r="E2" s="39" t="s">
        <v>225</v>
      </c>
      <c r="F2" s="39" t="s">
        <v>226</v>
      </c>
      <c r="G2" s="39" t="s">
        <v>141</v>
      </c>
    </row>
    <row r="3" spans="1:7" ht="22" customHeight="1" thickTop="1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19" customFormat="1" ht="28" customHeight="1" thickTop="1" thickBot="1">
      <c r="A1" s="27" t="s">
        <v>255</v>
      </c>
      <c r="B1" s="29"/>
      <c r="C1" s="29"/>
      <c r="D1" s="29"/>
      <c r="E1" s="29"/>
      <c r="F1" s="29"/>
      <c r="G1" s="29"/>
      <c r="H1" s="29"/>
    </row>
    <row r="2" spans="1:8" s="119" customFormat="1" ht="22" customHeight="1" thickTop="1" thickBot="1">
      <c r="A2" s="46" t="s">
        <v>130</v>
      </c>
      <c r="B2" s="46" t="s">
        <v>238</v>
      </c>
      <c r="C2" s="46" t="s">
        <v>239</v>
      </c>
      <c r="D2" s="46" t="s">
        <v>240</v>
      </c>
      <c r="E2" s="46" t="s">
        <v>141</v>
      </c>
      <c r="F2" s="29"/>
      <c r="G2" s="29"/>
      <c r="H2" s="29"/>
    </row>
    <row r="3" spans="1:8" ht="18" customHeight="1" thickTop="1">
      <c r="A3" s="120">
        <v>45486</v>
      </c>
      <c r="B3" s="121" t="s">
        <v>256</v>
      </c>
      <c r="C3" s="121" t="s">
        <v>154</v>
      </c>
      <c r="D3" s="122">
        <v>100</v>
      </c>
      <c r="E3" s="121"/>
      <c r="F3" s="121"/>
      <c r="G3" s="121"/>
      <c r="H3" s="121"/>
    </row>
    <row r="4" spans="1:8" ht="17" customHeight="1">
      <c r="A4" s="123">
        <v>46158</v>
      </c>
      <c r="B4" s="124" t="s">
        <v>256</v>
      </c>
      <c r="C4" s="124" t="s">
        <v>192</v>
      </c>
      <c r="D4" s="125">
        <v>250</v>
      </c>
      <c r="E4" s="124"/>
      <c r="F4" s="124"/>
      <c r="G4" s="124"/>
      <c r="H4" s="124"/>
    </row>
    <row r="5" spans="1:8" ht="17" customHeight="1">
      <c r="A5" s="124"/>
      <c r="B5" s="124"/>
      <c r="C5" s="124"/>
      <c r="D5" s="125"/>
      <c r="E5" s="124"/>
      <c r="F5" s="124"/>
      <c r="G5" s="124"/>
      <c r="H5" s="124"/>
    </row>
    <row r="6" spans="1:8" ht="17" customHeight="1">
      <c r="A6" s="124"/>
      <c r="B6" s="124"/>
      <c r="C6" s="124"/>
      <c r="D6" s="125"/>
      <c r="E6" s="124"/>
      <c r="F6" s="124"/>
      <c r="G6" s="124"/>
      <c r="H6" s="124"/>
    </row>
    <row r="7" spans="1:8" ht="17" customHeight="1">
      <c r="A7" s="124"/>
      <c r="B7" s="124"/>
      <c r="C7" s="124"/>
      <c r="D7" s="125"/>
      <c r="E7" s="124"/>
      <c r="F7" s="124"/>
      <c r="G7" s="124"/>
      <c r="H7" s="124"/>
    </row>
    <row r="8" spans="1:8" ht="17" customHeight="1">
      <c r="A8" s="124"/>
      <c r="B8" s="124"/>
      <c r="C8" s="124"/>
      <c r="D8" s="125"/>
      <c r="E8" s="124"/>
      <c r="F8" s="124"/>
      <c r="G8" s="124"/>
      <c r="H8" s="124"/>
    </row>
    <row r="9" spans="1:8" ht="17" customHeight="1">
      <c r="A9" s="124"/>
      <c r="B9" s="124"/>
      <c r="C9" s="124"/>
      <c r="D9" s="125"/>
      <c r="E9" s="124"/>
      <c r="F9" s="124"/>
      <c r="G9" s="124"/>
      <c r="H9" s="124"/>
    </row>
    <row r="10" spans="1:8" ht="17" customHeight="1">
      <c r="A10" s="124"/>
      <c r="B10" s="124"/>
      <c r="C10" s="124"/>
      <c r="D10" s="125"/>
      <c r="E10" s="124"/>
      <c r="F10" s="124"/>
      <c r="G10" s="124"/>
      <c r="H10" s="124"/>
    </row>
    <row r="11" spans="1:8" ht="17" customHeight="1">
      <c r="A11" s="124"/>
      <c r="B11" s="124"/>
      <c r="C11" s="124"/>
      <c r="D11" s="125"/>
      <c r="E11" s="124"/>
      <c r="F11" s="124"/>
      <c r="G11" s="124"/>
      <c r="H11" s="124"/>
    </row>
    <row r="12" spans="1:8" ht="17" customHeight="1">
      <c r="A12" s="124"/>
      <c r="B12" s="124"/>
      <c r="C12" s="124"/>
      <c r="D12" s="125"/>
      <c r="E12" s="124"/>
      <c r="F12" s="124"/>
      <c r="G12" s="124"/>
      <c r="H12" s="124"/>
    </row>
    <row r="13" spans="1:8" ht="17" customHeight="1">
      <c r="A13" s="124"/>
      <c r="B13" s="124"/>
      <c r="C13" s="124"/>
      <c r="D13" s="125"/>
      <c r="E13" s="124"/>
      <c r="F13" s="124"/>
      <c r="G13" s="124"/>
      <c r="H13" s="124"/>
    </row>
    <row r="14" spans="1:8" ht="17" customHeight="1">
      <c r="A14" s="124"/>
      <c r="B14" s="124"/>
      <c r="C14" s="124"/>
      <c r="D14" s="125"/>
      <c r="E14" s="124"/>
      <c r="F14" s="124"/>
      <c r="G14" s="124"/>
      <c r="H14" s="124"/>
    </row>
    <row r="15" spans="1:8" ht="17" customHeight="1">
      <c r="A15" s="124"/>
      <c r="B15" s="124"/>
      <c r="C15" s="124"/>
      <c r="D15" s="125"/>
      <c r="E15" s="124"/>
      <c r="F15" s="124"/>
      <c r="G15" s="124"/>
      <c r="H15" s="124"/>
    </row>
    <row r="16" spans="1:8" ht="17" customHeight="1">
      <c r="A16" s="124"/>
      <c r="B16" s="124"/>
      <c r="C16" s="124"/>
      <c r="D16" s="125"/>
      <c r="E16" s="124"/>
      <c r="F16" s="124"/>
      <c r="G16" s="124"/>
      <c r="H16" s="124"/>
    </row>
    <row r="17" spans="1:8" ht="17" customHeight="1">
      <c r="A17" s="124"/>
      <c r="B17" s="124"/>
      <c r="C17" s="124"/>
      <c r="D17" s="125"/>
      <c r="E17" s="124"/>
      <c r="F17" s="124"/>
      <c r="G17" s="124"/>
      <c r="H17" s="124"/>
    </row>
    <row r="18" spans="1:8" ht="17" customHeight="1">
      <c r="A18" s="124"/>
      <c r="B18" s="124"/>
      <c r="C18" s="124"/>
      <c r="D18" s="125"/>
      <c r="E18" s="124"/>
      <c r="F18" s="124"/>
      <c r="G18" s="124"/>
      <c r="H18" s="124"/>
    </row>
    <row r="19" spans="1:8" ht="17" customHeight="1">
      <c r="A19" s="124"/>
      <c r="B19" s="124"/>
      <c r="C19" s="124"/>
      <c r="D19" s="125"/>
      <c r="E19" s="124"/>
      <c r="F19" s="124"/>
      <c r="G19" s="124"/>
      <c r="H19" s="124"/>
    </row>
    <row r="20" spans="1:8" ht="17" customHeight="1">
      <c r="A20" s="124"/>
      <c r="B20" s="124"/>
      <c r="C20" s="124"/>
      <c r="D20" s="125"/>
      <c r="E20" s="124"/>
      <c r="F20" s="124"/>
      <c r="G20" s="124"/>
      <c r="H20" s="124"/>
    </row>
    <row r="21" spans="1:8" ht="17" customHeight="1">
      <c r="A21" s="124"/>
      <c r="B21" s="124"/>
      <c r="C21" s="124"/>
      <c r="D21" s="125"/>
      <c r="E21" s="124"/>
      <c r="F21" s="124"/>
      <c r="G21" s="124"/>
      <c r="H21" s="124"/>
    </row>
    <row r="22" spans="1:8" ht="17" customHeight="1">
      <c r="A22" s="124"/>
      <c r="B22" s="124"/>
      <c r="C22" s="124"/>
      <c r="D22" s="125"/>
      <c r="E22" s="124"/>
      <c r="F22" s="124"/>
      <c r="G22" s="124"/>
      <c r="H22" s="124"/>
    </row>
    <row r="23" spans="1:8" ht="17" customHeight="1">
      <c r="A23" s="124"/>
      <c r="B23" s="124"/>
      <c r="C23" s="124"/>
      <c r="D23" s="125"/>
      <c r="E23" s="124"/>
      <c r="F23" s="124"/>
      <c r="G23" s="124"/>
      <c r="H23" s="124"/>
    </row>
    <row r="24" spans="1:8" ht="17" customHeight="1">
      <c r="A24" s="124"/>
      <c r="B24" s="124"/>
      <c r="C24" s="124"/>
      <c r="D24" s="125"/>
      <c r="E24" s="124"/>
      <c r="F24" s="124"/>
      <c r="G24" s="124"/>
      <c r="H24" s="124"/>
    </row>
    <row r="25" spans="1:8" ht="17" customHeight="1">
      <c r="A25" s="124"/>
      <c r="B25" s="124"/>
      <c r="C25" s="124"/>
      <c r="D25" s="125"/>
      <c r="E25" s="124"/>
      <c r="F25" s="124"/>
      <c r="G25" s="124"/>
      <c r="H25" s="124"/>
    </row>
    <row r="26" spans="1:8" ht="17" customHeight="1">
      <c r="A26" s="124"/>
      <c r="B26" s="124"/>
      <c r="C26" s="124"/>
      <c r="D26" s="125"/>
      <c r="E26" s="124"/>
      <c r="F26" s="124"/>
      <c r="G26" s="124"/>
      <c r="H26" s="124"/>
    </row>
    <row r="27" spans="1:8" ht="16" customHeight="1">
      <c r="A27" s="126"/>
      <c r="B27" s="126"/>
      <c r="C27" s="126"/>
      <c r="D27" s="127"/>
      <c r="E27" s="126"/>
      <c r="F27" s="126"/>
      <c r="G27" s="126"/>
      <c r="H27" s="126"/>
    </row>
    <row r="28" spans="1:8">
      <c r="D28" s="128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tabSelected="1" workbookViewId="0">
      <pane ySplit="3" topLeftCell="A4" activePane="bottomLeft" state="frozen"/>
      <selection pane="bottomLeft" activeCell="D17" sqref="D17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258</v>
      </c>
      <c r="B2" s="167"/>
      <c r="C2" s="167"/>
      <c r="D2" s="167"/>
      <c r="E2" s="167"/>
      <c r="F2" s="168"/>
    </row>
    <row r="3" spans="1:6" ht="22" customHeight="1" thickBo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17">
      <c r="A4" s="181">
        <v>1</v>
      </c>
      <c r="B4" s="182" t="s">
        <v>49</v>
      </c>
      <c r="C4" s="183" t="s">
        <v>2</v>
      </c>
      <c r="D4" s="184" t="s">
        <v>3</v>
      </c>
      <c r="E4" s="182" t="s">
        <v>31</v>
      </c>
      <c r="F4" s="185">
        <v>2.1875000000000002E-3</v>
      </c>
    </row>
    <row r="5" spans="1:6" ht="22" customHeight="1">
      <c r="A5" s="186">
        <v>2</v>
      </c>
      <c r="B5" s="187" t="s">
        <v>116</v>
      </c>
      <c r="C5" s="188" t="s">
        <v>2</v>
      </c>
      <c r="D5" s="189" t="s">
        <v>3</v>
      </c>
      <c r="E5" s="187" t="s">
        <v>36</v>
      </c>
      <c r="F5" s="190">
        <v>2.2569444444444399E-3</v>
      </c>
    </row>
    <row r="6" spans="1:6" ht="17">
      <c r="A6" s="186">
        <v>3</v>
      </c>
      <c r="B6" s="187" t="s">
        <v>87</v>
      </c>
      <c r="C6" s="188" t="s">
        <v>2</v>
      </c>
      <c r="D6" s="189" t="s">
        <v>3</v>
      </c>
      <c r="E6" s="187" t="s">
        <v>31</v>
      </c>
      <c r="F6" s="190">
        <v>2.6504629629629599E-3</v>
      </c>
    </row>
    <row r="7" spans="1:6" ht="17">
      <c r="A7" s="186">
        <v>4</v>
      </c>
      <c r="B7" s="187" t="s">
        <v>120</v>
      </c>
      <c r="C7" s="188" t="s">
        <v>2</v>
      </c>
      <c r="D7" s="189" t="s">
        <v>3</v>
      </c>
      <c r="E7" s="187" t="s">
        <v>31</v>
      </c>
      <c r="F7" s="190">
        <v>2.0833333333333298E-3</v>
      </c>
    </row>
    <row r="8" spans="1:6" ht="17">
      <c r="A8" s="186">
        <v>5</v>
      </c>
      <c r="B8" s="187" t="s">
        <v>92</v>
      </c>
      <c r="C8" s="188" t="s">
        <v>2</v>
      </c>
      <c r="D8" s="189" t="s">
        <v>3</v>
      </c>
      <c r="E8" s="187" t="s">
        <v>36</v>
      </c>
      <c r="F8" s="190">
        <v>2.04861111111111E-3</v>
      </c>
    </row>
    <row r="9" spans="1:6" ht="17">
      <c r="A9" s="186">
        <v>6</v>
      </c>
      <c r="B9" s="187" t="s">
        <v>44</v>
      </c>
      <c r="C9" s="188" t="s">
        <v>2</v>
      </c>
      <c r="D9" s="189" t="s">
        <v>3</v>
      </c>
      <c r="E9" s="187" t="s">
        <v>31</v>
      </c>
      <c r="F9" s="190">
        <v>3.4143518518518498E-3</v>
      </c>
    </row>
    <row r="10" spans="1:6" ht="17">
      <c r="A10" s="186">
        <v>7</v>
      </c>
      <c r="B10" s="187" t="s">
        <v>65</v>
      </c>
      <c r="C10" s="188" t="s">
        <v>2</v>
      </c>
      <c r="D10" s="189" t="s">
        <v>3</v>
      </c>
      <c r="E10" s="187" t="s">
        <v>36</v>
      </c>
      <c r="F10" s="190">
        <v>2.48842592592593E-3</v>
      </c>
    </row>
    <row r="11" spans="1:6" ht="17">
      <c r="A11" s="186">
        <v>8</v>
      </c>
      <c r="B11" s="187" t="s">
        <v>94</v>
      </c>
      <c r="C11" s="188" t="s">
        <v>2</v>
      </c>
      <c r="D11" s="189" t="s">
        <v>3</v>
      </c>
      <c r="E11" s="187" t="s">
        <v>39</v>
      </c>
      <c r="F11" s="190">
        <v>3.59953703703704E-3</v>
      </c>
    </row>
    <row r="12" spans="1:6" ht="17">
      <c r="A12" s="186">
        <v>9</v>
      </c>
      <c r="B12" s="187" t="s">
        <v>127</v>
      </c>
      <c r="C12" s="188" t="s">
        <v>2</v>
      </c>
      <c r="D12" s="189" t="s">
        <v>3</v>
      </c>
      <c r="E12" s="187" t="s">
        <v>31</v>
      </c>
      <c r="F12" s="190">
        <v>2.0949074074074099E-3</v>
      </c>
    </row>
    <row r="13" spans="1:6" ht="17">
      <c r="A13" s="186">
        <v>10</v>
      </c>
      <c r="B13" s="187" t="s">
        <v>245</v>
      </c>
      <c r="C13" s="191" t="s">
        <v>2</v>
      </c>
      <c r="D13" s="192" t="s">
        <v>3</v>
      </c>
      <c r="E13" s="187" t="s">
        <v>39</v>
      </c>
      <c r="F13" s="190">
        <v>2.5810185185185198E-3</v>
      </c>
    </row>
    <row r="14" spans="1:6" ht="17">
      <c r="A14" s="186">
        <v>11</v>
      </c>
      <c r="B14" s="187" t="s">
        <v>90</v>
      </c>
      <c r="C14" s="188" t="s">
        <v>2</v>
      </c>
      <c r="D14" s="189" t="s">
        <v>3</v>
      </c>
      <c r="E14" s="187" t="s">
        <v>36</v>
      </c>
      <c r="F14" s="190">
        <v>2.8587962962962998E-3</v>
      </c>
    </row>
    <row r="15" spans="1:6" ht="17">
      <c r="A15" s="186">
        <v>12</v>
      </c>
      <c r="B15" s="187" t="s">
        <v>70</v>
      </c>
      <c r="C15" s="188" t="s">
        <v>2</v>
      </c>
      <c r="D15" s="189" t="s">
        <v>3</v>
      </c>
      <c r="E15" s="187" t="s">
        <v>31</v>
      </c>
      <c r="F15" s="190">
        <v>2.4305555555555599E-3</v>
      </c>
    </row>
    <row r="16" spans="1:6" ht="17">
      <c r="A16" s="186">
        <v>13</v>
      </c>
      <c r="B16" s="187" t="s">
        <v>89</v>
      </c>
      <c r="C16" s="188" t="s">
        <v>2</v>
      </c>
      <c r="D16" s="189" t="s">
        <v>3</v>
      </c>
      <c r="E16" s="187" t="s">
        <v>48</v>
      </c>
      <c r="F16" s="190">
        <v>3.04398148148148E-3</v>
      </c>
    </row>
    <row r="17" spans="1:6" ht="17">
      <c r="A17" s="186">
        <v>14</v>
      </c>
      <c r="B17" s="187" t="s">
        <v>123</v>
      </c>
      <c r="C17" s="188" t="s">
        <v>2</v>
      </c>
      <c r="D17" s="189" t="s">
        <v>3</v>
      </c>
      <c r="E17" s="187" t="s">
        <v>36</v>
      </c>
      <c r="F17" s="190">
        <v>3.32175925925926E-3</v>
      </c>
    </row>
    <row r="18" spans="1:6" ht="17">
      <c r="A18" s="193" t="s">
        <v>246</v>
      </c>
      <c r="B18" s="194"/>
      <c r="C18" s="194"/>
      <c r="D18" s="194"/>
      <c r="E18" s="194"/>
      <c r="F18" s="195"/>
    </row>
    <row r="19" spans="1:6" ht="17">
      <c r="A19" s="186">
        <v>15</v>
      </c>
      <c r="B19" s="187" t="s">
        <v>41</v>
      </c>
      <c r="C19" s="196" t="s">
        <v>2</v>
      </c>
      <c r="D19" s="197" t="s">
        <v>3</v>
      </c>
      <c r="E19" s="187" t="s">
        <v>39</v>
      </c>
      <c r="F19" s="190">
        <v>2.71990740740741E-3</v>
      </c>
    </row>
    <row r="20" spans="1:6" ht="17">
      <c r="A20" s="198">
        <v>16</v>
      </c>
      <c r="B20" s="187" t="s">
        <v>63</v>
      </c>
      <c r="C20" s="188" t="s">
        <v>2</v>
      </c>
      <c r="D20" s="189" t="s">
        <v>3</v>
      </c>
      <c r="E20" s="187" t="s">
        <v>31</v>
      </c>
      <c r="F20" s="190">
        <v>2.7893518518518502E-3</v>
      </c>
    </row>
    <row r="21" spans="1:6" ht="17">
      <c r="A21" s="199">
        <v>17</v>
      </c>
      <c r="B21" s="187" t="s">
        <v>106</v>
      </c>
      <c r="C21" s="188" t="s">
        <v>2</v>
      </c>
      <c r="D21" s="189" t="s">
        <v>3</v>
      </c>
      <c r="E21" s="187" t="s">
        <v>36</v>
      </c>
      <c r="F21" s="190">
        <v>3.3680555555555599E-3</v>
      </c>
    </row>
    <row r="22" spans="1:6" ht="17">
      <c r="A22" s="186">
        <v>18</v>
      </c>
      <c r="B22" s="187" t="s">
        <v>99</v>
      </c>
      <c r="C22" s="188" t="s">
        <v>2</v>
      </c>
      <c r="D22" s="189" t="s">
        <v>3</v>
      </c>
      <c r="E22" s="187" t="s">
        <v>39</v>
      </c>
      <c r="F22" s="190">
        <v>2.9513888888888901E-3</v>
      </c>
    </row>
    <row r="23" spans="1:6" ht="17">
      <c r="A23" s="186">
        <v>19</v>
      </c>
      <c r="B23" s="187" t="s">
        <v>72</v>
      </c>
      <c r="C23" s="188" t="s">
        <v>2</v>
      </c>
      <c r="D23" s="189" t="s">
        <v>3</v>
      </c>
      <c r="E23" s="187" t="s">
        <v>36</v>
      </c>
      <c r="F23" s="190">
        <v>2.60416666666667E-3</v>
      </c>
    </row>
    <row r="24" spans="1:6" ht="17">
      <c r="A24" s="186">
        <v>20</v>
      </c>
      <c r="B24" s="187" t="s">
        <v>97</v>
      </c>
      <c r="C24" s="188" t="s">
        <v>2</v>
      </c>
      <c r="D24" s="189" t="s">
        <v>3</v>
      </c>
      <c r="E24" s="187" t="s">
        <v>31</v>
      </c>
      <c r="F24" s="190">
        <v>3.2291666666666701E-3</v>
      </c>
    </row>
    <row r="25" spans="1:6" ht="17">
      <c r="A25" s="186">
        <v>21</v>
      </c>
      <c r="B25" s="187" t="s">
        <v>54</v>
      </c>
      <c r="C25" s="188" t="s">
        <v>2</v>
      </c>
      <c r="D25" s="189" t="s">
        <v>3</v>
      </c>
      <c r="E25" s="187" t="s">
        <v>39</v>
      </c>
      <c r="F25" s="200">
        <v>2.7430555555555602E-3</v>
      </c>
    </row>
    <row r="26" spans="1:6" ht="17">
      <c r="A26" s="186">
        <v>22</v>
      </c>
      <c r="B26" s="187" t="s">
        <v>108</v>
      </c>
      <c r="C26" s="188" t="s">
        <v>2</v>
      </c>
      <c r="D26" s="189" t="s">
        <v>3</v>
      </c>
      <c r="E26" s="187" t="s">
        <v>36</v>
      </c>
      <c r="F26" s="190">
        <v>2.60416666666667E-3</v>
      </c>
    </row>
    <row r="27" spans="1:6" ht="17">
      <c r="A27" s="186">
        <v>23</v>
      </c>
      <c r="B27" s="187" t="s">
        <v>85</v>
      </c>
      <c r="C27" s="188" t="s">
        <v>2</v>
      </c>
      <c r="D27" s="189" t="s">
        <v>3</v>
      </c>
      <c r="E27" s="187" t="s">
        <v>48</v>
      </c>
      <c r="F27" s="190">
        <v>1.9791666666666699E-3</v>
      </c>
    </row>
    <row r="28" spans="1:6" ht="17">
      <c r="A28" s="186">
        <v>24</v>
      </c>
      <c r="B28" s="187" t="s">
        <v>78</v>
      </c>
      <c r="C28" s="188" t="s">
        <v>2</v>
      </c>
      <c r="D28" s="189" t="s">
        <v>3</v>
      </c>
      <c r="E28" s="187" t="s">
        <v>39</v>
      </c>
      <c r="F28" s="190">
        <v>2.5810185185185198E-3</v>
      </c>
    </row>
    <row r="29" spans="1:6" ht="18">
      <c r="A29" s="186">
        <v>25</v>
      </c>
      <c r="B29" s="201" t="s">
        <v>74</v>
      </c>
      <c r="C29" s="202" t="s">
        <v>2</v>
      </c>
      <c r="D29" s="203" t="s">
        <v>3</v>
      </c>
      <c r="E29" s="201" t="s">
        <v>39</v>
      </c>
      <c r="F29" s="204">
        <v>4.6874999999999998E-3</v>
      </c>
    </row>
    <row r="30" spans="1:6" ht="18" thickBot="1">
      <c r="A30" s="186">
        <v>26</v>
      </c>
      <c r="B30" s="187" t="s">
        <v>103</v>
      </c>
      <c r="C30" s="188" t="s">
        <v>2</v>
      </c>
      <c r="D30" s="189" t="s">
        <v>3</v>
      </c>
      <c r="E30" s="187" t="s">
        <v>31</v>
      </c>
      <c r="F30" s="190">
        <v>5.9606481481481498E-3</v>
      </c>
    </row>
    <row r="31" spans="1:6" ht="18" thickBot="1">
      <c r="A31" s="79"/>
      <c r="B31" s="80" t="s">
        <v>243</v>
      </c>
      <c r="C31" s="80"/>
      <c r="D31" s="80"/>
      <c r="E31" s="80"/>
      <c r="F31" s="81">
        <f>SUM(F4:F17,F19:F30)</f>
        <v>7.5277777777777805E-2</v>
      </c>
    </row>
  </sheetData>
  <mergeCells count="3">
    <mergeCell ref="A1:F1"/>
    <mergeCell ref="A2:F2"/>
    <mergeCell ref="A18:F18"/>
  </mergeCells>
  <conditionalFormatting sqref="A4:F16 B17:F17 A17:A18 A19:F28 A29 A30:F31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4" r:id="rId1" xr:uid="{EC37AE05-AE23-F147-9DF3-245467C36308}"/>
    <hyperlink ref="D4" r:id="rId2" xr:uid="{54C3C456-6E53-C64C-A473-889273EF4208}"/>
    <hyperlink ref="C20" r:id="rId3" xr:uid="{E7DB0BA7-22A6-F24E-833D-D6F58D44BB2C}"/>
    <hyperlink ref="D20" r:id="rId4" xr:uid="{0932434F-6367-3041-9166-0C30F354C7CA}"/>
    <hyperlink ref="C24" r:id="rId5" xr:uid="{8630A561-7D67-A841-88B2-99C3E83C782C}"/>
    <hyperlink ref="D24" r:id="rId6" xr:uid="{6DB1EE8F-66F3-B84F-91EB-46A989884CB8}"/>
    <hyperlink ref="C9" r:id="rId7" xr:uid="{41644C29-FD65-0541-83A3-AA2F8EEE150D}"/>
    <hyperlink ref="D9" r:id="rId8" xr:uid="{E92D43F2-7019-D340-AF33-745EBFF2F410}"/>
    <hyperlink ref="C7" r:id="rId9" xr:uid="{83BFE939-F60D-3149-9075-4FA18C9112E8}"/>
    <hyperlink ref="D7" r:id="rId10" xr:uid="{EE777688-2254-5946-9763-4CAA8E1863F0}"/>
    <hyperlink ref="C8" r:id="rId11" xr:uid="{498A4D96-FDB4-9642-84B9-12813D624A61}"/>
    <hyperlink ref="D8" r:id="rId12" xr:uid="{6D2A00B3-A88A-2B4F-B41C-17305E0CF5BC}"/>
    <hyperlink ref="C17" r:id="rId13" xr:uid="{D16465FA-7FE8-8444-8663-F24F0E5D5931}"/>
    <hyperlink ref="D17" r:id="rId14" xr:uid="{BFF66ECD-8A95-7746-BDE3-19636B7E36CD}"/>
    <hyperlink ref="C11" r:id="rId15" xr:uid="{463D1E41-7622-794F-918D-E147DDAC3A50}"/>
    <hyperlink ref="D11" r:id="rId16" xr:uid="{B0080081-41CF-C547-B008-ACA57DC4AD4F}"/>
    <hyperlink ref="C5" r:id="rId17" xr:uid="{922EBA1B-5EFA-5D47-8C09-A2B33F3FA43F}"/>
    <hyperlink ref="D5" r:id="rId18" xr:uid="{FD78E60A-F0CC-D448-BAB5-0C66EB9C7302}"/>
    <hyperlink ref="C13" r:id="rId19" xr:uid="{F843A1E9-8E28-2F42-8AEC-883DA8B2A60D}"/>
    <hyperlink ref="D13" r:id="rId20" xr:uid="{B30F62AF-4121-8740-B28E-E8855472A134}"/>
    <hyperlink ref="C14" r:id="rId21" xr:uid="{191C9765-CB0E-AE4E-9C54-ABC981D181FE}"/>
    <hyperlink ref="D14" r:id="rId22" xr:uid="{FC10BD12-29D2-F64B-9912-EF001ADA25AF}"/>
    <hyperlink ref="C15" r:id="rId23" xr:uid="{14FEEBC2-B98B-9941-BDEB-E93CF0A3C943}"/>
    <hyperlink ref="D15" r:id="rId24" xr:uid="{0155930C-4B0C-A146-A3A7-BA113F56A0D4}"/>
    <hyperlink ref="C16" r:id="rId25" xr:uid="{623BE193-65D2-AE41-8227-7630450C9382}"/>
    <hyperlink ref="D16" r:id="rId26" xr:uid="{4FF1142F-3754-CA4B-ABB9-81B5D009C306}"/>
    <hyperlink ref="C12" r:id="rId27" xr:uid="{B47A86FB-B52F-4648-BEA4-EB58EB978932}"/>
    <hyperlink ref="D12" r:id="rId28" xr:uid="{B0A5C150-F112-2245-ADF0-92785DF7587B}"/>
    <hyperlink ref="C19" r:id="rId29" xr:uid="{9E06ACB0-5333-9245-9FA9-4DA7ABD5A266}"/>
    <hyperlink ref="D19" r:id="rId30" xr:uid="{67891E03-E07D-464F-B4C0-1C9F3B3D0465}"/>
    <hyperlink ref="C21" r:id="rId31" xr:uid="{055AB0F2-8C7C-EA4F-9AEA-08BBD3A49121}"/>
    <hyperlink ref="D21" r:id="rId32" xr:uid="{CE4DA128-4B24-404A-A69F-2938C2024E88}"/>
    <hyperlink ref="C10" r:id="rId33" xr:uid="{D72CC147-A8D8-B841-A160-E8684FA29198}"/>
    <hyperlink ref="D10" r:id="rId34" xr:uid="{7A2AFBFD-7A25-404E-8281-1487F340E9C8}"/>
    <hyperlink ref="C23" r:id="rId35" xr:uid="{3AC08FF5-470C-3C4F-9D6C-3B4DFA2D68AD}"/>
    <hyperlink ref="D23" r:id="rId36" xr:uid="{299BE9CF-AEF3-4E40-9D00-8A8FD5EA6EB0}"/>
    <hyperlink ref="C28" r:id="rId37" xr:uid="{E0D5754E-39F8-FF40-B425-2B361FFBC144}"/>
    <hyperlink ref="D28" r:id="rId38" xr:uid="{EC53C915-37BC-7547-824D-EC558AC9A91C}"/>
    <hyperlink ref="C25" r:id="rId39" xr:uid="{21991486-357C-9742-982E-F35B36734CEE}"/>
    <hyperlink ref="D25" r:id="rId40" xr:uid="{25BDB477-BF34-DC4A-9413-6E62B325B4DB}"/>
    <hyperlink ref="C26" r:id="rId41" xr:uid="{1A7A4B55-FAAB-474F-A4EA-4D9125132EC6}"/>
    <hyperlink ref="D26" r:id="rId42" xr:uid="{4AB36A44-80AE-7640-BAA1-5C362BC512B6}"/>
    <hyperlink ref="C27" r:id="rId43" xr:uid="{B13A67AB-591A-8F41-B15D-D78D7D16CC55}"/>
    <hyperlink ref="D27" r:id="rId44" xr:uid="{187B0381-B15E-F042-AA6A-17F1D08F5992}"/>
    <hyperlink ref="C22" r:id="rId45" xr:uid="{BFE9BC57-5DF3-C242-AAE7-AF257654D8C9}"/>
    <hyperlink ref="D22" r:id="rId46" xr:uid="{1FFB77DB-C8CD-9648-99C3-F415CA0B46D7}"/>
    <hyperlink ref="C30" r:id="rId47" xr:uid="{B28B6480-5871-D546-8FA4-4B79FE4D455D}"/>
    <hyperlink ref="D30" r:id="rId48" xr:uid="{4B413FC0-F166-B14D-94B2-5B969F19C9BD}"/>
    <hyperlink ref="C29" r:id="rId49" xr:uid="{4956684D-4D78-144D-87F7-46FB91E3B15A}"/>
    <hyperlink ref="D29" r:id="rId50" xr:uid="{35F374C9-FB6B-364F-8407-EDC9DCEA44C7}"/>
    <hyperlink ref="C6" r:id="rId51" xr:uid="{0F5CA902-44A9-BB4E-AAC8-18F8001BCA29}"/>
    <hyperlink ref="D6" r:id="rId52" xr:uid="{596E0068-2C44-D040-A9B8-EF02842A8E07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2"/>
  <sheetViews>
    <sheetView workbookViewId="0">
      <pane ySplit="3" topLeftCell="A4" activePane="bottomLeft" state="frozen"/>
      <selection pane="bottomLeft" activeCell="E30" sqref="E30"/>
    </sheetView>
  </sheetViews>
  <sheetFormatPr baseColWidth="10" defaultColWidth="8.83203125" defaultRowHeight="15"/>
  <cols>
    <col min="1" max="1" width="4.83203125" style="15" customWidth="1"/>
    <col min="2" max="2" width="23.6640625" bestFit="1" customWidth="1"/>
    <col min="3" max="4" width="5.1640625" style="15" bestFit="1" customWidth="1"/>
    <col min="5" max="5" width="9.1640625" customWidth="1"/>
    <col min="6" max="6" width="11.83203125" style="15" customWidth="1"/>
  </cols>
  <sheetData>
    <row r="1" spans="1:6" ht="50" thickBot="1">
      <c r="A1" s="160" t="s">
        <v>83</v>
      </c>
      <c r="B1" s="161"/>
      <c r="C1" s="161"/>
      <c r="D1" s="161"/>
      <c r="E1" s="161"/>
      <c r="F1" s="162"/>
    </row>
    <row r="2" spans="1:6" ht="18" thickBot="1">
      <c r="A2" s="156" t="s">
        <v>275</v>
      </c>
      <c r="B2" s="157"/>
      <c r="C2" s="157"/>
      <c r="D2" s="157"/>
      <c r="E2" s="157"/>
      <c r="F2" s="158"/>
    </row>
    <row r="3" spans="1:6" ht="18" thickBot="1">
      <c r="A3" s="140" t="s">
        <v>241</v>
      </c>
      <c r="B3" s="141" t="s">
        <v>1</v>
      </c>
      <c r="C3" s="141" t="s">
        <v>2</v>
      </c>
      <c r="D3" s="141" t="s">
        <v>3</v>
      </c>
      <c r="E3" s="141" t="s">
        <v>242</v>
      </c>
      <c r="F3" s="142" t="s">
        <v>6</v>
      </c>
    </row>
    <row r="4" spans="1:6" ht="17">
      <c r="A4" s="133">
        <v>1</v>
      </c>
      <c r="B4" s="132" t="s">
        <v>49</v>
      </c>
      <c r="C4" s="144" t="s">
        <v>2</v>
      </c>
      <c r="D4" s="144" t="s">
        <v>3</v>
      </c>
      <c r="E4" s="132" t="s">
        <v>31</v>
      </c>
      <c r="F4" s="134">
        <f>VLOOKUP(B4,'Song Tracker'!$A$3:$F$48,6,FALSE)</f>
        <v>2.1875000000000002E-3</v>
      </c>
    </row>
    <row r="5" spans="1:6" ht="17">
      <c r="A5" s="135">
        <v>2</v>
      </c>
      <c r="B5" s="145" t="s">
        <v>99</v>
      </c>
      <c r="C5" s="146" t="s">
        <v>2</v>
      </c>
      <c r="D5" s="146" t="s">
        <v>3</v>
      </c>
      <c r="E5" s="145" t="s">
        <v>39</v>
      </c>
      <c r="F5" s="147">
        <f>VLOOKUP(B5,'Song Tracker'!$A$3:$F$48,6,FALSE)</f>
        <v>2.9513888888888888E-3</v>
      </c>
    </row>
    <row r="6" spans="1:6" ht="17">
      <c r="A6" s="137">
        <v>3</v>
      </c>
      <c r="B6" s="130" t="s">
        <v>44</v>
      </c>
      <c r="C6" s="148" t="s">
        <v>2</v>
      </c>
      <c r="D6" s="148" t="s">
        <v>3</v>
      </c>
      <c r="E6" s="130" t="s">
        <v>31</v>
      </c>
      <c r="F6" s="136">
        <f>VLOOKUP(B6,'Song Tracker'!$A$3:$F$48,6,FALSE)</f>
        <v>3.414351851851852E-3</v>
      </c>
    </row>
    <row r="7" spans="1:6" ht="17">
      <c r="A7" s="135">
        <v>4</v>
      </c>
      <c r="B7" s="145" t="s">
        <v>72</v>
      </c>
      <c r="C7" s="146" t="s">
        <v>2</v>
      </c>
      <c r="D7" s="146" t="s">
        <v>3</v>
      </c>
      <c r="E7" s="145" t="s">
        <v>36</v>
      </c>
      <c r="F7" s="147">
        <f>VLOOKUP(B7,'Song Tracker'!$A$3:$F$48,6,FALSE)</f>
        <v>2.6041666666666665E-3</v>
      </c>
    </row>
    <row r="8" spans="1:6" ht="17">
      <c r="A8" s="137">
        <v>5</v>
      </c>
      <c r="B8" s="130" t="s">
        <v>70</v>
      </c>
      <c r="C8" s="148" t="s">
        <v>2</v>
      </c>
      <c r="D8" s="148" t="s">
        <v>3</v>
      </c>
      <c r="E8" s="130" t="s">
        <v>31</v>
      </c>
      <c r="F8" s="136">
        <f>VLOOKUP(B8,'Song Tracker'!$A$3:$F$48,6,FALSE)</f>
        <v>2.4305555555555556E-3</v>
      </c>
    </row>
    <row r="9" spans="1:6" ht="17">
      <c r="A9" s="135">
        <v>6</v>
      </c>
      <c r="B9" s="145" t="s">
        <v>78</v>
      </c>
      <c r="C9" s="146" t="s">
        <v>2</v>
      </c>
      <c r="D9" s="146" t="s">
        <v>3</v>
      </c>
      <c r="E9" s="145" t="s">
        <v>39</v>
      </c>
      <c r="F9" s="147">
        <f>VLOOKUP(B9,'Song Tracker'!$A$3:$F$48,6,FALSE)</f>
        <v>2.5810185185185185E-3</v>
      </c>
    </row>
    <row r="10" spans="1:6" ht="17">
      <c r="A10" s="137">
        <v>7</v>
      </c>
      <c r="B10" s="130" t="s">
        <v>108</v>
      </c>
      <c r="C10" s="148" t="s">
        <v>2</v>
      </c>
      <c r="D10" s="148" t="s">
        <v>3</v>
      </c>
      <c r="E10" s="130" t="s">
        <v>36</v>
      </c>
      <c r="F10" s="136">
        <f>VLOOKUP(B10,'Song Tracker'!$A$3:$F$48,6,FALSE)</f>
        <v>2.6041666666666665E-3</v>
      </c>
    </row>
    <row r="11" spans="1:6" ht="17">
      <c r="A11" s="135">
        <v>8</v>
      </c>
      <c r="B11" s="145" t="s">
        <v>85</v>
      </c>
      <c r="C11" s="146" t="s">
        <v>2</v>
      </c>
      <c r="D11" s="146" t="s">
        <v>3</v>
      </c>
      <c r="E11" s="145" t="s">
        <v>48</v>
      </c>
      <c r="F11" s="147">
        <f>VLOOKUP(B11,'Song Tracker'!$A$3:$F$48,6,FALSE)</f>
        <v>1.9791666666666668E-3</v>
      </c>
    </row>
    <row r="12" spans="1:6" ht="17">
      <c r="A12" s="137">
        <v>9</v>
      </c>
      <c r="B12" s="130" t="s">
        <v>106</v>
      </c>
      <c r="C12" s="148" t="s">
        <v>2</v>
      </c>
      <c r="D12" s="148" t="s">
        <v>3</v>
      </c>
      <c r="E12" s="130" t="s">
        <v>36</v>
      </c>
      <c r="F12" s="136">
        <f>VLOOKUP(B12,'Song Tracker'!$A$3:$F$48,6,FALSE)</f>
        <v>3.3680555555555556E-3</v>
      </c>
    </row>
    <row r="13" spans="1:6" ht="17">
      <c r="A13" s="135">
        <v>10</v>
      </c>
      <c r="B13" s="145" t="s">
        <v>63</v>
      </c>
      <c r="C13" s="146" t="s">
        <v>2</v>
      </c>
      <c r="D13" s="146" t="s">
        <v>3</v>
      </c>
      <c r="E13" s="145" t="s">
        <v>31</v>
      </c>
      <c r="F13" s="147">
        <f>VLOOKUP(B13,'Song Tracker'!$A$3:$F$48,6,FALSE)</f>
        <v>2.7893518518518519E-3</v>
      </c>
    </row>
    <row r="14" spans="1:6" ht="17">
      <c r="A14" s="137">
        <v>11</v>
      </c>
      <c r="B14" s="130" t="s">
        <v>245</v>
      </c>
      <c r="C14" s="148" t="s">
        <v>2</v>
      </c>
      <c r="D14" s="148" t="s">
        <v>3</v>
      </c>
      <c r="E14" s="130" t="s">
        <v>39</v>
      </c>
      <c r="F14" s="136">
        <f>VLOOKUP(B14,'Song Tracker'!$A$3:$F$48,6,FALSE)</f>
        <v>2.5810185185185185E-3</v>
      </c>
    </row>
    <row r="15" spans="1:6" ht="17">
      <c r="A15" s="135">
        <v>12</v>
      </c>
      <c r="B15" s="145" t="s">
        <v>90</v>
      </c>
      <c r="C15" s="146" t="s">
        <v>2</v>
      </c>
      <c r="D15" s="146" t="s">
        <v>3</v>
      </c>
      <c r="E15" s="145" t="s">
        <v>36</v>
      </c>
      <c r="F15" s="147">
        <f>VLOOKUP(B15,'Song Tracker'!$A$3:$F$48,6,FALSE)</f>
        <v>2.8587962962962963E-3</v>
      </c>
    </row>
    <row r="16" spans="1:6" ht="17">
      <c r="A16" s="137">
        <v>13</v>
      </c>
      <c r="B16" s="130" t="s">
        <v>127</v>
      </c>
      <c r="C16" s="148" t="s">
        <v>2</v>
      </c>
      <c r="D16" s="148" t="s">
        <v>3</v>
      </c>
      <c r="E16" s="130" t="s">
        <v>31</v>
      </c>
      <c r="F16" s="136">
        <f>VLOOKUP(B16,'Song Tracker'!$A$3:$F$48,6,FALSE)</f>
        <v>2.0949074074074073E-3</v>
      </c>
    </row>
    <row r="17" spans="1:6" ht="17">
      <c r="A17" s="135">
        <v>14</v>
      </c>
      <c r="B17" s="145" t="s">
        <v>54</v>
      </c>
      <c r="C17" s="146" t="s">
        <v>2</v>
      </c>
      <c r="D17" s="146" t="s">
        <v>3</v>
      </c>
      <c r="E17" s="145" t="s">
        <v>39</v>
      </c>
      <c r="F17" s="147">
        <f>VLOOKUP(B17,'Song Tracker'!$A$3:$F$48,6,FALSE)</f>
        <v>2.7430555555555554E-3</v>
      </c>
    </row>
    <row r="18" spans="1:6" ht="18" thickBot="1">
      <c r="A18" s="138">
        <v>15</v>
      </c>
      <c r="B18" s="131" t="s">
        <v>123</v>
      </c>
      <c r="C18" s="149" t="s">
        <v>2</v>
      </c>
      <c r="D18" s="149" t="s">
        <v>3</v>
      </c>
      <c r="E18" s="131" t="s">
        <v>36</v>
      </c>
      <c r="F18" s="139">
        <f>VLOOKUP(B18,'Song Tracker'!$A$3:$F$48,6,FALSE)</f>
        <v>3.3217592592592591E-3</v>
      </c>
    </row>
    <row r="19" spans="1:6" ht="18" thickBot="1">
      <c r="A19" s="129"/>
      <c r="B19" s="159" t="s">
        <v>243</v>
      </c>
      <c r="C19" s="159"/>
      <c r="D19" s="159"/>
      <c r="E19" s="159"/>
      <c r="F19" s="143">
        <f>SUM(F4:F18)</f>
        <v>4.0509259259259259E-2</v>
      </c>
    </row>
    <row r="20" spans="1:6">
      <c r="A20"/>
      <c r="C20"/>
      <c r="D20"/>
      <c r="F20"/>
    </row>
    <row r="21" spans="1:6">
      <c r="A21"/>
      <c r="C21"/>
      <c r="D21"/>
      <c r="F21"/>
    </row>
    <row r="22" spans="1:6">
      <c r="A22"/>
      <c r="C22"/>
      <c r="D22"/>
      <c r="F22"/>
    </row>
    <row r="23" spans="1:6">
      <c r="A23"/>
      <c r="C23"/>
      <c r="D23"/>
      <c r="F23"/>
    </row>
    <row r="24" spans="1:6">
      <c r="A24"/>
      <c r="C24"/>
      <c r="D24"/>
      <c r="F24"/>
    </row>
    <row r="25" spans="1:6">
      <c r="A25"/>
      <c r="C25"/>
      <c r="D25"/>
      <c r="F25"/>
    </row>
    <row r="26" spans="1:6">
      <c r="A26"/>
      <c r="C26"/>
      <c r="D26"/>
      <c r="F26"/>
    </row>
    <row r="27" spans="1:6">
      <c r="A27"/>
      <c r="C27"/>
      <c r="D27"/>
      <c r="F27"/>
    </row>
    <row r="28" spans="1:6">
      <c r="A28"/>
      <c r="C28"/>
      <c r="D28"/>
      <c r="F28"/>
    </row>
    <row r="29" spans="1:6">
      <c r="A29"/>
      <c r="C29"/>
      <c r="D29"/>
      <c r="F29"/>
    </row>
    <row r="30" spans="1:6">
      <c r="A30"/>
      <c r="C30"/>
      <c r="D30"/>
      <c r="F30"/>
    </row>
    <row r="31" spans="1:6">
      <c r="A31"/>
      <c r="C31"/>
      <c r="D31"/>
      <c r="F31"/>
    </row>
    <row r="32" spans="1:6">
      <c r="A32"/>
      <c r="C32"/>
      <c r="D32"/>
      <c r="F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</sheetData>
  <mergeCells count="3">
    <mergeCell ref="A2:F2"/>
    <mergeCell ref="B19:E19"/>
    <mergeCell ref="A1:F1"/>
  </mergeCells>
  <hyperlinks>
    <hyperlink ref="C4" r:id="rId1" xr:uid="{25410629-9926-A94A-8DEA-173796F462EF}"/>
    <hyperlink ref="D4" r:id="rId2" xr:uid="{51A86A37-4D80-C742-9F9D-DBAB1BBBF262}"/>
    <hyperlink ref="C5" r:id="rId3" xr:uid="{1BB26EAD-BC11-8F41-AAB4-2AB641D5E159}"/>
    <hyperlink ref="D5" r:id="rId4" xr:uid="{3C469BEB-F1C9-7E4E-B2C4-91B89BD3FBE0}"/>
    <hyperlink ref="C6" r:id="rId5" xr:uid="{4C4BB4C6-D7A9-5448-8D70-C170771329C2}"/>
    <hyperlink ref="D6" r:id="rId6" xr:uid="{DEB078E8-28BF-7C4E-8BEA-FF9AB7AE0B93}"/>
    <hyperlink ref="C7" r:id="rId7" xr:uid="{D5B568C3-87D4-A94C-949B-127BA6F87614}"/>
    <hyperlink ref="D7" r:id="rId8" xr:uid="{B15C33EF-691B-9D4F-A3BC-9B3982227CDE}"/>
    <hyperlink ref="C8" r:id="rId9" xr:uid="{36088FEC-E769-0C44-8A49-92B2647BFB83}"/>
    <hyperlink ref="D8" r:id="rId10" xr:uid="{2C94AEC3-3E53-294C-B1AB-F84AE5BC1D80}"/>
    <hyperlink ref="C9" r:id="rId11" xr:uid="{06F0413F-F712-AC4C-9F0E-13F202CC7B6A}"/>
    <hyperlink ref="D9" r:id="rId12" xr:uid="{8A75058B-1B7E-3F4D-BB4A-94700B5E83DD}"/>
    <hyperlink ref="C10" r:id="rId13" xr:uid="{8A56B0FC-40A7-E94A-8D95-B9CBC050B784}"/>
    <hyperlink ref="D10" r:id="rId14" xr:uid="{5C3A2765-3BEE-7042-92FE-EF34ADA8D968}"/>
    <hyperlink ref="C11" r:id="rId15" xr:uid="{FBFCCA03-69E4-CB41-B7FB-3382EF84E574}"/>
    <hyperlink ref="D11" r:id="rId16" xr:uid="{15DBDF7B-7D4A-C541-9657-A8CFCC3FF71E}"/>
    <hyperlink ref="C12" r:id="rId17" xr:uid="{E41F4D2A-B475-114E-BBB7-42E522418218}"/>
    <hyperlink ref="D12" r:id="rId18" xr:uid="{259D3AFB-D92F-B444-A10A-6756580F9930}"/>
    <hyperlink ref="C14" r:id="rId19" xr:uid="{EF75B0D6-8328-8F4C-9AE8-9ECF606C459A}"/>
    <hyperlink ref="D14" r:id="rId20" xr:uid="{1C5CCE95-3106-CB4E-A846-1F7787B725D0}"/>
    <hyperlink ref="C15" r:id="rId21" xr:uid="{FEF1C916-BC48-A443-81A8-28247F42A2A2}"/>
    <hyperlink ref="D15" r:id="rId22" xr:uid="{D854AB63-19A5-6745-8468-B6C1D632F760}"/>
    <hyperlink ref="C16" r:id="rId23" xr:uid="{1080BC69-4EDF-6841-9B5B-F8B92C46F498}"/>
    <hyperlink ref="D16" r:id="rId24" xr:uid="{7CCA3E16-A9BC-0E44-AFF4-0DD5D6BAF56D}"/>
    <hyperlink ref="C17" r:id="rId25" xr:uid="{FCA2E2D6-0ED8-F347-A02E-366EE169C5CD}"/>
    <hyperlink ref="D17" r:id="rId26" xr:uid="{70AE9A16-25BE-FE40-808F-6E47A2F5FCA9}"/>
    <hyperlink ref="C18" r:id="rId27" xr:uid="{BEC67237-B25D-0147-BB2F-633884A6E50D}"/>
    <hyperlink ref="D18" r:id="rId28" xr:uid="{DEE84DE1-B608-0A4F-8CB0-2A4C8BACB00A}"/>
    <hyperlink ref="C13" r:id="rId29" xr:uid="{A801D906-C97B-7647-85DE-7AC62D3FDE24}"/>
    <hyperlink ref="D13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>
      <c r="A1" s="169" t="s">
        <v>244</v>
      </c>
      <c r="B1" s="170"/>
      <c r="C1" s="170"/>
      <c r="D1" s="170"/>
      <c r="E1" s="170"/>
      <c r="F1" s="171"/>
    </row>
    <row r="2" spans="1:6" ht="22" customHeight="1" thickBot="1">
      <c r="A2" s="60" t="s">
        <v>241</v>
      </c>
      <c r="B2" s="61" t="s">
        <v>1</v>
      </c>
      <c r="C2" s="61" t="s">
        <v>2</v>
      </c>
      <c r="D2" s="61" t="s">
        <v>3</v>
      </c>
      <c r="E2" s="61" t="s">
        <v>242</v>
      </c>
      <c r="F2" s="62" t="s">
        <v>6</v>
      </c>
    </row>
    <row r="3" spans="1:6" ht="22" customHeight="1">
      <c r="A3" s="63">
        <v>1</v>
      </c>
      <c r="B3" s="64" t="s">
        <v>49</v>
      </c>
      <c r="C3" s="65" t="s">
        <v>2</v>
      </c>
      <c r="D3" s="66" t="s">
        <v>3</v>
      </c>
      <c r="E3" s="64" t="s">
        <v>31</v>
      </c>
      <c r="F3" s="67">
        <v>2.1875000000000002E-3</v>
      </c>
    </row>
    <row r="4" spans="1:6" ht="22" customHeight="1">
      <c r="A4" s="68">
        <v>2</v>
      </c>
      <c r="B4" s="69" t="s">
        <v>116</v>
      </c>
      <c r="C4" s="70" t="s">
        <v>2</v>
      </c>
      <c r="D4" s="71" t="s">
        <v>3</v>
      </c>
      <c r="E4" s="69" t="s">
        <v>36</v>
      </c>
      <c r="F4" s="59">
        <v>2.2569444444444399E-3</v>
      </c>
    </row>
    <row r="5" spans="1:6" ht="22" customHeight="1">
      <c r="A5" s="68">
        <v>3</v>
      </c>
      <c r="B5" s="69" t="s">
        <v>87</v>
      </c>
      <c r="C5" s="70" t="s">
        <v>2</v>
      </c>
      <c r="D5" s="71" t="s">
        <v>3</v>
      </c>
      <c r="E5" s="69" t="s">
        <v>31</v>
      </c>
      <c r="F5" s="59">
        <v>2.6504629629629599E-3</v>
      </c>
    </row>
    <row r="6" spans="1:6" ht="22" customHeight="1">
      <c r="A6" s="68">
        <v>4</v>
      </c>
      <c r="B6" s="69" t="s">
        <v>120</v>
      </c>
      <c r="C6" s="70" t="s">
        <v>2</v>
      </c>
      <c r="D6" s="71" t="s">
        <v>3</v>
      </c>
      <c r="E6" s="69" t="s">
        <v>31</v>
      </c>
      <c r="F6" s="59">
        <v>2.0833333333333298E-3</v>
      </c>
    </row>
    <row r="7" spans="1:6" ht="22" customHeight="1">
      <c r="A7" s="68">
        <v>5</v>
      </c>
      <c r="B7" s="69" t="s">
        <v>92</v>
      </c>
      <c r="C7" s="70" t="s">
        <v>2</v>
      </c>
      <c r="D7" s="71" t="s">
        <v>3</v>
      </c>
      <c r="E7" s="69" t="s">
        <v>36</v>
      </c>
      <c r="F7" s="59">
        <v>2.04861111111111E-3</v>
      </c>
    </row>
    <row r="8" spans="1:6" ht="22" customHeight="1">
      <c r="A8" s="68">
        <v>6</v>
      </c>
      <c r="B8" s="69" t="s">
        <v>44</v>
      </c>
      <c r="C8" s="70" t="s">
        <v>2</v>
      </c>
      <c r="D8" s="71" t="s">
        <v>3</v>
      </c>
      <c r="E8" s="69" t="s">
        <v>31</v>
      </c>
      <c r="F8" s="59">
        <v>3.4143518518518498E-3</v>
      </c>
    </row>
    <row r="9" spans="1:6" ht="22" customHeight="1">
      <c r="A9" s="68">
        <v>7</v>
      </c>
      <c r="B9" s="69" t="s">
        <v>65</v>
      </c>
      <c r="C9" s="70" t="s">
        <v>2</v>
      </c>
      <c r="D9" s="71" t="s">
        <v>3</v>
      </c>
      <c r="E9" s="69" t="s">
        <v>36</v>
      </c>
      <c r="F9" s="59">
        <v>2.48842592592593E-3</v>
      </c>
    </row>
    <row r="10" spans="1:6" ht="22" customHeight="1">
      <c r="A10" s="68">
        <v>8</v>
      </c>
      <c r="B10" s="69" t="s">
        <v>94</v>
      </c>
      <c r="C10" s="70" t="s">
        <v>2</v>
      </c>
      <c r="D10" s="71" t="s">
        <v>3</v>
      </c>
      <c r="E10" s="69" t="s">
        <v>39</v>
      </c>
      <c r="F10" s="59">
        <v>3.59953703703704E-3</v>
      </c>
    </row>
    <row r="11" spans="1:6" ht="22" customHeight="1">
      <c r="A11" s="68">
        <v>9</v>
      </c>
      <c r="B11" s="69" t="s">
        <v>127</v>
      </c>
      <c r="C11" s="70" t="s">
        <v>2</v>
      </c>
      <c r="D11" s="71" t="s">
        <v>3</v>
      </c>
      <c r="E11" s="69" t="s">
        <v>31</v>
      </c>
      <c r="F11" s="59">
        <v>2.0949074074074099E-3</v>
      </c>
    </row>
    <row r="12" spans="1:6" ht="22" customHeight="1">
      <c r="A12" s="68">
        <v>10</v>
      </c>
      <c r="B12" s="69" t="s">
        <v>245</v>
      </c>
      <c r="C12" s="72" t="s">
        <v>2</v>
      </c>
      <c r="D12" s="73" t="s">
        <v>3</v>
      </c>
      <c r="E12" s="69" t="s">
        <v>39</v>
      </c>
      <c r="F12" s="59">
        <v>2.5810185185185198E-3</v>
      </c>
    </row>
    <row r="13" spans="1:6" ht="22" customHeight="1">
      <c r="A13" s="68">
        <v>11</v>
      </c>
      <c r="B13" s="69" t="s">
        <v>90</v>
      </c>
      <c r="C13" s="70" t="s">
        <v>2</v>
      </c>
      <c r="D13" s="71" t="s">
        <v>3</v>
      </c>
      <c r="E13" s="69" t="s">
        <v>36</v>
      </c>
      <c r="F13" s="59">
        <v>2.8587962962962998E-3</v>
      </c>
    </row>
    <row r="14" spans="1:6" ht="22" customHeight="1">
      <c r="A14" s="68">
        <v>12</v>
      </c>
      <c r="B14" s="69" t="s">
        <v>70</v>
      </c>
      <c r="C14" s="70" t="s">
        <v>2</v>
      </c>
      <c r="D14" s="71" t="s">
        <v>3</v>
      </c>
      <c r="E14" s="69" t="s">
        <v>31</v>
      </c>
      <c r="F14" s="59">
        <v>2.4305555555555599E-3</v>
      </c>
    </row>
    <row r="15" spans="1:6" ht="22" customHeight="1">
      <c r="A15" s="68">
        <v>13</v>
      </c>
      <c r="B15" s="69" t="s">
        <v>89</v>
      </c>
      <c r="C15" s="70" t="s">
        <v>2</v>
      </c>
      <c r="D15" s="71" t="s">
        <v>3</v>
      </c>
      <c r="E15" s="69" t="s">
        <v>48</v>
      </c>
      <c r="F15" s="59">
        <v>3.04398148148148E-3</v>
      </c>
    </row>
    <row r="16" spans="1:6" ht="22" customHeight="1">
      <c r="A16" s="68">
        <v>14</v>
      </c>
      <c r="B16" s="69" t="s">
        <v>123</v>
      </c>
      <c r="C16" s="70" t="s">
        <v>2</v>
      </c>
      <c r="D16" s="71" t="s">
        <v>3</v>
      </c>
      <c r="E16" s="69" t="s">
        <v>36</v>
      </c>
      <c r="F16" s="59">
        <v>3.32175925925926E-3</v>
      </c>
    </row>
    <row r="17" spans="1:6" ht="22" customHeight="1">
      <c r="A17" s="172" t="s">
        <v>246</v>
      </c>
      <c r="B17" s="173"/>
      <c r="C17" s="173"/>
      <c r="D17" s="173"/>
      <c r="E17" s="173"/>
      <c r="F17" s="174"/>
    </row>
    <row r="18" spans="1:6" ht="22" customHeight="1">
      <c r="A18" s="68">
        <v>15</v>
      </c>
      <c r="B18" s="69" t="s">
        <v>41</v>
      </c>
      <c r="C18" s="74" t="s">
        <v>2</v>
      </c>
      <c r="D18" s="75" t="s">
        <v>3</v>
      </c>
      <c r="E18" s="69" t="s">
        <v>39</v>
      </c>
      <c r="F18" s="59">
        <v>2.71990740740741E-3</v>
      </c>
    </row>
    <row r="19" spans="1:6" ht="17" customHeight="1">
      <c r="A19" s="76">
        <v>16</v>
      </c>
      <c r="B19" s="69" t="s">
        <v>63</v>
      </c>
      <c r="C19" s="70" t="s">
        <v>2</v>
      </c>
      <c r="D19" s="71" t="s">
        <v>3</v>
      </c>
      <c r="E19" s="69" t="s">
        <v>31</v>
      </c>
      <c r="F19" s="59">
        <v>2.7893518518518502E-3</v>
      </c>
    </row>
    <row r="20" spans="1:6" ht="22" customHeight="1">
      <c r="A20" s="77">
        <v>17</v>
      </c>
      <c r="B20" s="69" t="s">
        <v>106</v>
      </c>
      <c r="C20" s="70" t="s">
        <v>2</v>
      </c>
      <c r="D20" s="71" t="s">
        <v>3</v>
      </c>
      <c r="E20" s="69" t="s">
        <v>36</v>
      </c>
      <c r="F20" s="59">
        <v>3.3680555555555599E-3</v>
      </c>
    </row>
    <row r="21" spans="1:6" ht="17" customHeight="1">
      <c r="A21" s="68">
        <v>18</v>
      </c>
      <c r="B21" s="69" t="s">
        <v>99</v>
      </c>
      <c r="C21" s="70" t="s">
        <v>2</v>
      </c>
      <c r="D21" s="71" t="s">
        <v>3</v>
      </c>
      <c r="E21" s="69" t="s">
        <v>39</v>
      </c>
      <c r="F21" s="59">
        <v>2.9513888888888901E-3</v>
      </c>
    </row>
    <row r="22" spans="1:6" ht="17" customHeight="1">
      <c r="A22" s="68">
        <v>19</v>
      </c>
      <c r="B22" s="69" t="s">
        <v>72</v>
      </c>
      <c r="C22" s="70" t="s">
        <v>2</v>
      </c>
      <c r="D22" s="71" t="s">
        <v>3</v>
      </c>
      <c r="E22" s="69" t="s">
        <v>36</v>
      </c>
      <c r="F22" s="59">
        <v>2.60416666666667E-3</v>
      </c>
    </row>
    <row r="23" spans="1:6" ht="17" customHeight="1">
      <c r="A23" s="68">
        <v>20</v>
      </c>
      <c r="B23" s="69" t="s">
        <v>97</v>
      </c>
      <c r="C23" s="70" t="s">
        <v>2</v>
      </c>
      <c r="D23" s="71" t="s">
        <v>3</v>
      </c>
      <c r="E23" s="69" t="s">
        <v>31</v>
      </c>
      <c r="F23" s="59">
        <v>3.2291666666666701E-3</v>
      </c>
    </row>
    <row r="24" spans="1:6" ht="17" customHeight="1">
      <c r="A24" s="68">
        <v>21</v>
      </c>
      <c r="B24" s="69" t="s">
        <v>54</v>
      </c>
      <c r="C24" s="70" t="s">
        <v>2</v>
      </c>
      <c r="D24" s="71" t="s">
        <v>3</v>
      </c>
      <c r="E24" s="69" t="s">
        <v>39</v>
      </c>
      <c r="F24" s="78">
        <v>2.7430555555555602E-3</v>
      </c>
    </row>
    <row r="25" spans="1:6" ht="17" customHeight="1">
      <c r="A25" s="68">
        <v>22</v>
      </c>
      <c r="B25" s="69" t="s">
        <v>108</v>
      </c>
      <c r="C25" s="70" t="s">
        <v>2</v>
      </c>
      <c r="D25" s="71" t="s">
        <v>3</v>
      </c>
      <c r="E25" s="69" t="s">
        <v>36</v>
      </c>
      <c r="F25" s="59">
        <v>2.60416666666667E-3</v>
      </c>
    </row>
    <row r="26" spans="1:6" ht="17" customHeight="1">
      <c r="A26" s="68">
        <v>23</v>
      </c>
      <c r="B26" s="69" t="s">
        <v>85</v>
      </c>
      <c r="C26" s="70" t="s">
        <v>2</v>
      </c>
      <c r="D26" s="71" t="s">
        <v>3</v>
      </c>
      <c r="E26" s="69" t="s">
        <v>48</v>
      </c>
      <c r="F26" s="59">
        <v>1.9791666666666699E-3</v>
      </c>
    </row>
    <row r="27" spans="1:6" ht="17" customHeight="1">
      <c r="A27" s="68">
        <v>24</v>
      </c>
      <c r="B27" s="69" t="s">
        <v>78</v>
      </c>
      <c r="C27" s="70" t="s">
        <v>2</v>
      </c>
      <c r="D27" s="71" t="s">
        <v>3</v>
      </c>
      <c r="E27" s="69" t="s">
        <v>39</v>
      </c>
      <c r="F27" s="59">
        <v>2.5810185185185198E-3</v>
      </c>
    </row>
    <row r="28" spans="1:6" ht="17" customHeight="1">
      <c r="A28" s="68">
        <v>25</v>
      </c>
      <c r="B28" s="82" t="s">
        <v>74</v>
      </c>
      <c r="C28" s="83" t="s">
        <v>2</v>
      </c>
      <c r="D28" s="84" t="s">
        <v>3</v>
      </c>
      <c r="E28" s="82" t="s">
        <v>39</v>
      </c>
      <c r="F28" s="85">
        <v>4.6874999999999998E-3</v>
      </c>
    </row>
    <row r="29" spans="1:6" ht="17" customHeight="1" thickBot="1">
      <c r="A29" s="68">
        <v>26</v>
      </c>
      <c r="B29" s="69" t="s">
        <v>103</v>
      </c>
      <c r="C29" s="70" t="s">
        <v>2</v>
      </c>
      <c r="D29" s="71" t="s">
        <v>3</v>
      </c>
      <c r="E29" s="69" t="s">
        <v>31</v>
      </c>
      <c r="F29" s="59">
        <v>5.9606481481481498E-3</v>
      </c>
    </row>
    <row r="30" spans="1:6" ht="17" customHeight="1" thickBot="1">
      <c r="A30" s="79"/>
      <c r="B30" s="80" t="s">
        <v>243</v>
      </c>
      <c r="C30" s="80"/>
      <c r="D30" s="80"/>
      <c r="E30" s="80"/>
      <c r="F30" s="81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78" t="s">
        <v>83</v>
      </c>
      <c r="B1" s="179"/>
      <c r="C1" s="179"/>
      <c r="D1" s="179"/>
      <c r="E1" s="179"/>
      <c r="F1" s="180"/>
    </row>
    <row r="2" spans="1:6" ht="28" customHeight="1" thickBot="1">
      <c r="A2" s="175" t="s">
        <v>259</v>
      </c>
      <c r="B2" s="176"/>
      <c r="C2" s="176"/>
      <c r="D2" s="176"/>
      <c r="E2" s="176"/>
      <c r="F2" s="177"/>
    </row>
    <row r="3" spans="1:6" ht="22" customHeight="1">
      <c r="A3" s="154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5" t="s">
        <v>6</v>
      </c>
    </row>
    <row r="4" spans="1:6" ht="22" customHeight="1">
      <c r="A4" s="50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51">
        <v>2.1874999999999998E-3</v>
      </c>
    </row>
    <row r="5" spans="1:6" ht="22" customHeight="1">
      <c r="A5" s="50">
        <v>2</v>
      </c>
      <c r="B5" s="17" t="s">
        <v>99</v>
      </c>
      <c r="C5" s="24" t="s">
        <v>2</v>
      </c>
      <c r="D5" s="24" t="s">
        <v>3</v>
      </c>
      <c r="E5" s="17" t="s">
        <v>39</v>
      </c>
      <c r="F5" s="51">
        <v>2.9513888888888888E-3</v>
      </c>
    </row>
    <row r="6" spans="1:6" ht="22" customHeight="1">
      <c r="A6" s="50">
        <v>3</v>
      </c>
      <c r="B6" s="17" t="s">
        <v>72</v>
      </c>
      <c r="C6" s="24" t="s">
        <v>2</v>
      </c>
      <c r="D6" s="24" t="s">
        <v>3</v>
      </c>
      <c r="E6" s="17" t="s">
        <v>36</v>
      </c>
      <c r="F6" s="51">
        <v>2.6041666666666665E-3</v>
      </c>
    </row>
    <row r="7" spans="1:6" ht="22" customHeight="1">
      <c r="A7" s="50">
        <v>4</v>
      </c>
      <c r="B7" s="17" t="s">
        <v>78</v>
      </c>
      <c r="C7" s="24" t="s">
        <v>2</v>
      </c>
      <c r="D7" s="24" t="s">
        <v>3</v>
      </c>
      <c r="E7" s="17" t="s">
        <v>39</v>
      </c>
      <c r="F7" s="51">
        <v>2.5810185185185185E-3</v>
      </c>
    </row>
    <row r="8" spans="1:6" ht="22" customHeight="1">
      <c r="A8" s="50">
        <v>5</v>
      </c>
      <c r="B8" s="17" t="s">
        <v>70</v>
      </c>
      <c r="C8" s="24" t="s">
        <v>2</v>
      </c>
      <c r="D8" s="24" t="s">
        <v>3</v>
      </c>
      <c r="E8" s="17" t="s">
        <v>31</v>
      </c>
      <c r="F8" s="51">
        <v>2.4305555555555556E-3</v>
      </c>
    </row>
    <row r="9" spans="1:6" ht="22" customHeight="1">
      <c r="A9" s="50">
        <v>6</v>
      </c>
      <c r="B9" s="17" t="s">
        <v>90</v>
      </c>
      <c r="C9" s="24" t="s">
        <v>2</v>
      </c>
      <c r="D9" s="24" t="s">
        <v>3</v>
      </c>
      <c r="E9" s="17" t="s">
        <v>36</v>
      </c>
      <c r="F9" s="51">
        <v>2.8587962962962963E-3</v>
      </c>
    </row>
    <row r="10" spans="1:6" ht="22" customHeight="1">
      <c r="A10" s="50">
        <v>7</v>
      </c>
      <c r="B10" s="17" t="s">
        <v>44</v>
      </c>
      <c r="C10" s="24" t="s">
        <v>2</v>
      </c>
      <c r="D10" s="24" t="s">
        <v>3</v>
      </c>
      <c r="E10" s="17" t="s">
        <v>31</v>
      </c>
      <c r="F10" s="51">
        <v>3.414351851851852E-3</v>
      </c>
    </row>
    <row r="11" spans="1:6" ht="22" customHeight="1">
      <c r="A11" s="50">
        <v>8</v>
      </c>
      <c r="B11" s="17" t="s">
        <v>82</v>
      </c>
      <c r="C11" s="24" t="s">
        <v>2</v>
      </c>
      <c r="D11" s="24"/>
      <c r="E11" s="17" t="s">
        <v>36</v>
      </c>
      <c r="F11" s="51">
        <f>VLOOKUP(B11,'Song Tracker'!$A$3:$F$48,6,FALSE)</f>
        <v>3.8541666666666668E-3</v>
      </c>
    </row>
    <row r="12" spans="1:6" ht="22" customHeight="1">
      <c r="A12" s="50">
        <v>9</v>
      </c>
      <c r="B12" s="17" t="s">
        <v>94</v>
      </c>
      <c r="C12" s="24" t="s">
        <v>2</v>
      </c>
      <c r="D12" s="24" t="s">
        <v>3</v>
      </c>
      <c r="E12" s="17" t="s">
        <v>39</v>
      </c>
      <c r="F12" s="51">
        <v>3.5995370370370369E-3</v>
      </c>
    </row>
    <row r="13" spans="1:6" ht="22" customHeight="1">
      <c r="A13" s="50">
        <v>10</v>
      </c>
      <c r="B13" s="17" t="s">
        <v>63</v>
      </c>
      <c r="C13" s="24" t="s">
        <v>2</v>
      </c>
      <c r="D13" s="24" t="s">
        <v>3</v>
      </c>
      <c r="E13" s="17" t="s">
        <v>31</v>
      </c>
      <c r="F13" s="51">
        <v>2.7893518518518519E-3</v>
      </c>
    </row>
    <row r="14" spans="1:6" ht="22" customHeight="1">
      <c r="A14" s="50">
        <v>11</v>
      </c>
      <c r="B14" s="17" t="s">
        <v>106</v>
      </c>
      <c r="C14" s="24" t="s">
        <v>2</v>
      </c>
      <c r="D14" s="24" t="s">
        <v>3</v>
      </c>
      <c r="E14" s="17" t="s">
        <v>36</v>
      </c>
      <c r="F14" s="51">
        <v>3.3680555555555556E-3</v>
      </c>
    </row>
    <row r="15" spans="1:6" ht="22" customHeight="1">
      <c r="A15" s="50">
        <v>12</v>
      </c>
      <c r="B15" s="17" t="s">
        <v>245</v>
      </c>
      <c r="C15" s="24" t="s">
        <v>2</v>
      </c>
      <c r="D15" s="24" t="s">
        <v>3</v>
      </c>
      <c r="E15" s="17" t="s">
        <v>39</v>
      </c>
      <c r="F15" s="51">
        <v>2.5810185185185185E-3</v>
      </c>
    </row>
    <row r="16" spans="1:6" ht="22" customHeight="1">
      <c r="A16" s="50">
        <v>13</v>
      </c>
      <c r="B16" s="17" t="s">
        <v>108</v>
      </c>
      <c r="C16" s="24" t="s">
        <v>2</v>
      </c>
      <c r="D16" s="24" t="s">
        <v>3</v>
      </c>
      <c r="E16" s="17" t="s">
        <v>36</v>
      </c>
      <c r="F16" s="51">
        <v>2.6041666666666665E-3</v>
      </c>
    </row>
    <row r="17" spans="1:6" ht="22" customHeight="1">
      <c r="A17" s="50">
        <v>14</v>
      </c>
      <c r="B17" s="17" t="s">
        <v>54</v>
      </c>
      <c r="C17" s="24" t="s">
        <v>2</v>
      </c>
      <c r="D17" s="24" t="s">
        <v>3</v>
      </c>
      <c r="E17" s="17" t="s">
        <v>39</v>
      </c>
      <c r="F17" s="51">
        <v>2.7430555555555554E-3</v>
      </c>
    </row>
    <row r="18" spans="1:6" ht="22" customHeight="1">
      <c r="A18" s="50">
        <v>15</v>
      </c>
      <c r="B18" s="17" t="s">
        <v>127</v>
      </c>
      <c r="C18" s="24" t="s">
        <v>2</v>
      </c>
      <c r="D18" s="24" t="s">
        <v>3</v>
      </c>
      <c r="E18" s="17" t="s">
        <v>31</v>
      </c>
      <c r="F18" s="51">
        <v>2.0949074074074073E-3</v>
      </c>
    </row>
    <row r="19" spans="1:6" ht="22" customHeight="1">
      <c r="A19" s="50">
        <v>16</v>
      </c>
      <c r="B19" s="17" t="s">
        <v>123</v>
      </c>
      <c r="C19" s="24" t="s">
        <v>2</v>
      </c>
      <c r="D19" s="24" t="s">
        <v>3</v>
      </c>
      <c r="E19" s="17" t="s">
        <v>36</v>
      </c>
      <c r="F19" s="51">
        <v>3.3217592592592595E-3</v>
      </c>
    </row>
    <row r="20" spans="1:6">
      <c r="A20" s="52"/>
      <c r="B20" s="16"/>
      <c r="C20" s="19"/>
      <c r="D20" s="19"/>
      <c r="E20" s="16"/>
      <c r="F20" s="53"/>
    </row>
    <row r="21" spans="1:6" ht="22" customHeight="1" thickBot="1">
      <c r="A21" s="54"/>
      <c r="B21" s="55" t="s">
        <v>243</v>
      </c>
      <c r="C21" s="56"/>
      <c r="D21" s="56"/>
      <c r="E21" s="55"/>
      <c r="F21" s="57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C12" r:id="rId16" xr:uid="{00000000-0004-0000-0800-00000F000000}"/>
    <hyperlink ref="D12" r:id="rId17" xr:uid="{00000000-0004-0000-0800-000010000000}"/>
    <hyperlink ref="C13" r:id="rId18" xr:uid="{00000000-0004-0000-0800-000011000000}"/>
    <hyperlink ref="D13" r:id="rId19" xr:uid="{00000000-0004-0000-0800-000012000000}"/>
    <hyperlink ref="C14" r:id="rId20" xr:uid="{00000000-0004-0000-0800-000013000000}"/>
    <hyperlink ref="D14" r:id="rId21" xr:uid="{00000000-0004-0000-0800-000014000000}"/>
    <hyperlink ref="C15" r:id="rId22" xr:uid="{00000000-0004-0000-0800-000015000000}"/>
    <hyperlink ref="D15" r:id="rId23" xr:uid="{00000000-0004-0000-0800-000016000000}"/>
    <hyperlink ref="C16" r:id="rId24" xr:uid="{00000000-0004-0000-0800-000017000000}"/>
    <hyperlink ref="D16" r:id="rId25" xr:uid="{00000000-0004-0000-0800-000018000000}"/>
    <hyperlink ref="C17" r:id="rId26" xr:uid="{00000000-0004-0000-0800-000019000000}"/>
    <hyperlink ref="D17" r:id="rId27" xr:uid="{00000000-0004-0000-0800-00001A000000}"/>
    <hyperlink ref="C18" r:id="rId28" xr:uid="{00000000-0004-0000-0800-00001B000000}"/>
    <hyperlink ref="D18" r:id="rId29" xr:uid="{00000000-0004-0000-0800-00001C000000}"/>
    <hyperlink ref="C19" r:id="rId30" xr:uid="{00000000-0004-0000-0800-00001D000000}"/>
    <hyperlink ref="D19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260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 t="s">
        <v>247</v>
      </c>
      <c r="B4" s="17" t="s">
        <v>104</v>
      </c>
      <c r="C4" s="24" t="s">
        <v>2</v>
      </c>
      <c r="D4" s="24" t="s">
        <v>3</v>
      </c>
      <c r="E4" s="17" t="s">
        <v>36</v>
      </c>
      <c r="F4" s="48">
        <f>VLOOKUP(B4,'Song Tracker'!$A$3:$F$48,6,FALSE)</f>
        <v>2.4305555555555556E-3</v>
      </c>
    </row>
    <row r="5" spans="1:6" ht="22" customHeight="1">
      <c r="A5" s="26">
        <v>1</v>
      </c>
      <c r="B5" s="17" t="s">
        <v>49</v>
      </c>
      <c r="C5" s="24" t="s">
        <v>2</v>
      </c>
      <c r="D5" s="24" t="s">
        <v>3</v>
      </c>
      <c r="E5" s="17" t="s">
        <v>31</v>
      </c>
      <c r="F5" s="48">
        <v>2.1874999999999998E-3</v>
      </c>
    </row>
    <row r="6" spans="1:6" ht="22" customHeight="1">
      <c r="A6" s="26">
        <v>2</v>
      </c>
      <c r="B6" s="17" t="s">
        <v>99</v>
      </c>
      <c r="C6" s="24" t="s">
        <v>2</v>
      </c>
      <c r="D6" s="24" t="s">
        <v>3</v>
      </c>
      <c r="E6" s="17" t="s">
        <v>39</v>
      </c>
      <c r="F6" s="48">
        <v>2.9513888888888888E-3</v>
      </c>
    </row>
    <row r="7" spans="1:6" ht="22" customHeight="1">
      <c r="A7" s="26">
        <v>3</v>
      </c>
      <c r="B7" s="17" t="s">
        <v>72</v>
      </c>
      <c r="C7" s="24" t="s">
        <v>2</v>
      </c>
      <c r="D7" s="24" t="s">
        <v>3</v>
      </c>
      <c r="E7" s="17" t="s">
        <v>36</v>
      </c>
      <c r="F7" s="48">
        <v>2.6041666666666665E-3</v>
      </c>
    </row>
    <row r="8" spans="1:6" ht="22" customHeight="1">
      <c r="A8" s="26">
        <v>4</v>
      </c>
      <c r="B8" s="17" t="s">
        <v>78</v>
      </c>
      <c r="C8" s="24" t="s">
        <v>2</v>
      </c>
      <c r="D8" s="24" t="s">
        <v>3</v>
      </c>
      <c r="E8" s="17" t="s">
        <v>39</v>
      </c>
      <c r="F8" s="48">
        <v>2.5810185185185185E-3</v>
      </c>
    </row>
    <row r="9" spans="1:6" ht="22" customHeight="1">
      <c r="A9" s="26">
        <v>5</v>
      </c>
      <c r="B9" s="17" t="s">
        <v>70</v>
      </c>
      <c r="C9" s="24" t="s">
        <v>2</v>
      </c>
      <c r="D9" s="24" t="s">
        <v>3</v>
      </c>
      <c r="E9" s="17" t="s">
        <v>31</v>
      </c>
      <c r="F9" s="48">
        <v>2.4305555555555556E-3</v>
      </c>
    </row>
    <row r="10" spans="1:6" ht="22" customHeight="1">
      <c r="A10" s="26">
        <v>6</v>
      </c>
      <c r="B10" s="17" t="s">
        <v>90</v>
      </c>
      <c r="C10" s="24" t="s">
        <v>2</v>
      </c>
      <c r="D10" s="24" t="s">
        <v>3</v>
      </c>
      <c r="E10" s="17" t="s">
        <v>36</v>
      </c>
      <c r="F10" s="48">
        <v>2.8587962962962963E-3</v>
      </c>
    </row>
    <row r="11" spans="1:6" ht="22" customHeight="1">
      <c r="A11" s="26">
        <v>7</v>
      </c>
      <c r="B11" s="17" t="s">
        <v>44</v>
      </c>
      <c r="C11" s="24" t="s">
        <v>2</v>
      </c>
      <c r="D11" s="24" t="s">
        <v>3</v>
      </c>
      <c r="E11" s="17" t="s">
        <v>31</v>
      </c>
      <c r="F11" s="48">
        <v>3.414351851851852E-3</v>
      </c>
    </row>
    <row r="12" spans="1:6" ht="22" customHeight="1">
      <c r="A12" s="26"/>
      <c r="B12" s="17"/>
      <c r="C12" s="24"/>
      <c r="D12" s="24"/>
      <c r="E12" s="17"/>
      <c r="F12" s="48"/>
    </row>
    <row r="13" spans="1:6" ht="22" customHeight="1">
      <c r="A13" s="26">
        <v>9</v>
      </c>
      <c r="B13" s="17" t="s">
        <v>94</v>
      </c>
      <c r="C13" s="24" t="s">
        <v>2</v>
      </c>
      <c r="D13" s="24" t="s">
        <v>3</v>
      </c>
      <c r="E13" s="17" t="s">
        <v>39</v>
      </c>
      <c r="F13" s="48">
        <v>3.5995370370370369E-3</v>
      </c>
    </row>
    <row r="14" spans="1:6" ht="22" customHeight="1">
      <c r="A14" s="26">
        <v>10</v>
      </c>
      <c r="B14" s="17" t="s">
        <v>63</v>
      </c>
      <c r="C14" s="24" t="s">
        <v>2</v>
      </c>
      <c r="D14" s="24" t="s">
        <v>3</v>
      </c>
      <c r="E14" s="17" t="s">
        <v>31</v>
      </c>
      <c r="F14" s="48">
        <v>2.7893518518518519E-3</v>
      </c>
    </row>
    <row r="15" spans="1:6" ht="22" customHeight="1">
      <c r="A15" s="26">
        <v>11</v>
      </c>
      <c r="B15" s="17" t="s">
        <v>106</v>
      </c>
      <c r="C15" s="24" t="s">
        <v>2</v>
      </c>
      <c r="D15" s="24" t="s">
        <v>3</v>
      </c>
      <c r="E15" s="17" t="s">
        <v>36</v>
      </c>
      <c r="F15" s="48">
        <v>3.3680555555555556E-3</v>
      </c>
    </row>
    <row r="16" spans="1:6" ht="22" customHeight="1">
      <c r="A16" s="26">
        <v>12</v>
      </c>
      <c r="B16" s="17" t="s">
        <v>245</v>
      </c>
      <c r="C16" s="24" t="s">
        <v>2</v>
      </c>
      <c r="D16" s="24" t="s">
        <v>3</v>
      </c>
      <c r="E16" s="17" t="s">
        <v>39</v>
      </c>
      <c r="F16" s="48">
        <v>2.5810185185185185E-3</v>
      </c>
    </row>
    <row r="17" spans="1:6" ht="22" customHeight="1">
      <c r="A17" s="26">
        <v>13</v>
      </c>
      <c r="B17" s="17" t="s">
        <v>108</v>
      </c>
      <c r="C17" s="24" t="s">
        <v>2</v>
      </c>
      <c r="D17" s="24" t="s">
        <v>3</v>
      </c>
      <c r="E17" s="17" t="s">
        <v>36</v>
      </c>
      <c r="F17" s="48">
        <v>2.6041666666666665E-3</v>
      </c>
    </row>
    <row r="18" spans="1:6" ht="22" customHeight="1">
      <c r="A18" s="26">
        <v>14</v>
      </c>
      <c r="B18" s="17" t="s">
        <v>54</v>
      </c>
      <c r="C18" s="24" t="s">
        <v>2</v>
      </c>
      <c r="D18" s="24" t="s">
        <v>3</v>
      </c>
      <c r="E18" s="17" t="s">
        <v>39</v>
      </c>
      <c r="F18" s="48">
        <v>2.7430555555555554E-3</v>
      </c>
    </row>
    <row r="19" spans="1:6" ht="22" customHeight="1">
      <c r="A19" s="26">
        <v>15</v>
      </c>
      <c r="B19" s="17" t="s">
        <v>127</v>
      </c>
      <c r="C19" s="24" t="s">
        <v>2</v>
      </c>
      <c r="D19" s="24" t="s">
        <v>3</v>
      </c>
      <c r="E19" s="17" t="s">
        <v>31</v>
      </c>
      <c r="F19" s="48">
        <v>2.0949074074074073E-3</v>
      </c>
    </row>
    <row r="20" spans="1:6" ht="22" customHeight="1">
      <c r="A20" s="26">
        <v>16</v>
      </c>
      <c r="B20" s="17" t="s">
        <v>123</v>
      </c>
      <c r="C20" s="24" t="s">
        <v>2</v>
      </c>
      <c r="D20" s="24" t="s">
        <v>3</v>
      </c>
      <c r="E20" s="17" t="s">
        <v>36</v>
      </c>
      <c r="F20" s="48">
        <v>3.3217592592592595E-3</v>
      </c>
    </row>
    <row r="21" spans="1:6">
      <c r="A21" s="18"/>
      <c r="B21" s="16"/>
      <c r="C21" s="19"/>
      <c r="D21" s="19"/>
      <c r="E21" s="16"/>
      <c r="F21" s="49"/>
    </row>
    <row r="22" spans="1:6" ht="22" customHeight="1" thickBot="1">
      <c r="A22" s="20"/>
      <c r="B22" s="21" t="s">
        <v>243</v>
      </c>
      <c r="C22" s="22"/>
      <c r="D22" s="22"/>
      <c r="E22" s="21"/>
      <c r="F22" s="23">
        <f>SUM(F4:F21)</f>
        <v>4.4560185185185182E-2</v>
      </c>
    </row>
  </sheetData>
  <mergeCells count="2">
    <mergeCell ref="A1:F1"/>
    <mergeCell ref="A2:F2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3" r:id="rId17" xr:uid="{00000000-0004-0000-0900-000010000000}"/>
    <hyperlink ref="D13" r:id="rId18" xr:uid="{00000000-0004-0000-0900-000011000000}"/>
    <hyperlink ref="C14" r:id="rId19" xr:uid="{00000000-0004-0000-0900-000012000000}"/>
    <hyperlink ref="D14" r:id="rId20" xr:uid="{00000000-0004-0000-0900-000013000000}"/>
    <hyperlink ref="C15" r:id="rId21" xr:uid="{00000000-0004-0000-0900-000014000000}"/>
    <hyperlink ref="D15" r:id="rId22" xr:uid="{00000000-0004-0000-0900-000015000000}"/>
    <hyperlink ref="C16" r:id="rId23" xr:uid="{00000000-0004-0000-0900-000016000000}"/>
    <hyperlink ref="D16" r:id="rId24" xr:uid="{00000000-0004-0000-0900-000017000000}"/>
    <hyperlink ref="C17" r:id="rId25" xr:uid="{00000000-0004-0000-0900-000018000000}"/>
    <hyperlink ref="D17" r:id="rId26" xr:uid="{00000000-0004-0000-0900-000019000000}"/>
    <hyperlink ref="C18" r:id="rId27" xr:uid="{00000000-0004-0000-0900-00001A000000}"/>
    <hyperlink ref="D18" r:id="rId28" xr:uid="{00000000-0004-0000-0900-00001B000000}"/>
    <hyperlink ref="C19" r:id="rId29" xr:uid="{00000000-0004-0000-0900-00001C000000}"/>
    <hyperlink ref="D19" r:id="rId30" xr:uid="{00000000-0004-0000-0900-00001D000000}"/>
    <hyperlink ref="C20" r:id="rId31" xr:uid="{00000000-0004-0000-0900-00001E000000}"/>
    <hyperlink ref="D20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261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99</v>
      </c>
      <c r="C5" s="24" t="s">
        <v>2</v>
      </c>
      <c r="D5" s="24" t="s">
        <v>3</v>
      </c>
      <c r="E5" s="17" t="s">
        <v>39</v>
      </c>
      <c r="F5" s="48">
        <v>2.9513888888888888E-3</v>
      </c>
    </row>
    <row r="6" spans="1:6" ht="22" customHeight="1">
      <c r="A6" s="26">
        <v>3</v>
      </c>
      <c r="B6" s="17" t="s">
        <v>72</v>
      </c>
      <c r="C6" s="24" t="s">
        <v>2</v>
      </c>
      <c r="D6" s="24" t="s">
        <v>3</v>
      </c>
      <c r="E6" s="17" t="s">
        <v>36</v>
      </c>
      <c r="F6" s="48">
        <v>2.6041666666666665E-3</v>
      </c>
    </row>
    <row r="7" spans="1:6" ht="22" customHeight="1">
      <c r="A7" s="26">
        <v>4</v>
      </c>
      <c r="B7" s="17" t="s">
        <v>78</v>
      </c>
      <c r="C7" s="24" t="s">
        <v>2</v>
      </c>
      <c r="D7" s="24" t="s">
        <v>3</v>
      </c>
      <c r="E7" s="17" t="s">
        <v>39</v>
      </c>
      <c r="F7" s="48">
        <v>2.5810185185185185E-3</v>
      </c>
    </row>
    <row r="8" spans="1:6" ht="22" customHeight="1">
      <c r="A8" s="26">
        <v>5</v>
      </c>
      <c r="B8" s="17" t="s">
        <v>44</v>
      </c>
      <c r="C8" s="24" t="s">
        <v>2</v>
      </c>
      <c r="D8" s="24" t="s">
        <v>3</v>
      </c>
      <c r="E8" s="17" t="s">
        <v>31</v>
      </c>
      <c r="F8" s="48">
        <v>3.414351851851852E-3</v>
      </c>
    </row>
    <row r="9" spans="1:6" ht="22" customHeight="1">
      <c r="A9" s="26">
        <v>6</v>
      </c>
      <c r="B9" s="17" t="s">
        <v>85</v>
      </c>
      <c r="C9" s="24" t="s">
        <v>2</v>
      </c>
      <c r="D9" s="24" t="s">
        <v>3</v>
      </c>
      <c r="E9" s="17" t="s">
        <v>48</v>
      </c>
      <c r="F9" s="48">
        <v>1.9791666666666668E-3</v>
      </c>
    </row>
    <row r="10" spans="1:6" ht="22" customHeight="1">
      <c r="A10" s="26">
        <v>7</v>
      </c>
      <c r="B10" s="17" t="s">
        <v>94</v>
      </c>
      <c r="C10" s="24" t="s">
        <v>2</v>
      </c>
      <c r="D10" s="24" t="s">
        <v>3</v>
      </c>
      <c r="E10" s="17" t="s">
        <v>39</v>
      </c>
      <c r="F10" s="48">
        <v>3.5995370370370369E-3</v>
      </c>
    </row>
    <row r="11" spans="1:6" ht="22" customHeight="1">
      <c r="A11" s="26">
        <v>8</v>
      </c>
      <c r="B11" s="17" t="s">
        <v>108</v>
      </c>
      <c r="C11" s="24" t="s">
        <v>2</v>
      </c>
      <c r="D11" s="24" t="s">
        <v>3</v>
      </c>
      <c r="E11" s="17" t="s">
        <v>36</v>
      </c>
      <c r="F11" s="48">
        <v>2.6041666666666665E-3</v>
      </c>
    </row>
    <row r="12" spans="1:6" ht="22" customHeight="1">
      <c r="A12" s="26">
        <v>9</v>
      </c>
      <c r="B12" s="17" t="s">
        <v>54</v>
      </c>
      <c r="C12" s="24" t="s">
        <v>2</v>
      </c>
      <c r="D12" s="24" t="s">
        <v>3</v>
      </c>
      <c r="E12" s="17" t="s">
        <v>39</v>
      </c>
      <c r="F12" s="48">
        <v>2.7430555555555554E-3</v>
      </c>
    </row>
    <row r="13" spans="1:6" ht="22" customHeight="1">
      <c r="A13" s="26">
        <v>10</v>
      </c>
      <c r="B13" s="17" t="s">
        <v>123</v>
      </c>
      <c r="C13" s="24" t="s">
        <v>2</v>
      </c>
      <c r="D13" s="24" t="s">
        <v>3</v>
      </c>
      <c r="E13" s="17" t="s">
        <v>36</v>
      </c>
      <c r="F13" s="48">
        <v>3.3217592592592595E-3</v>
      </c>
    </row>
    <row r="14" spans="1:6">
      <c r="A14" s="18"/>
      <c r="B14" s="16"/>
      <c r="C14" s="19"/>
      <c r="D14" s="19"/>
      <c r="E14" s="16"/>
      <c r="F14" s="49"/>
    </row>
    <row r="15" spans="1:6" ht="22" customHeight="1" thickBot="1">
      <c r="A15" s="20"/>
      <c r="B15" s="21" t="s">
        <v>243</v>
      </c>
      <c r="C15" s="22"/>
      <c r="D15" s="22"/>
      <c r="E15" s="21"/>
      <c r="F15" s="23">
        <f>SUM(F4:F14)</f>
        <v>2.7986111111111111E-2</v>
      </c>
    </row>
  </sheetData>
  <mergeCells count="2">
    <mergeCell ref="A1:F1"/>
    <mergeCell ref="A2:F2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262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65</v>
      </c>
      <c r="C5" s="24" t="s">
        <v>2</v>
      </c>
      <c r="D5" s="24" t="s">
        <v>3</v>
      </c>
      <c r="E5" s="17" t="s">
        <v>36</v>
      </c>
      <c r="F5" s="48">
        <v>2.488425925925926E-3</v>
      </c>
    </row>
    <row r="6" spans="1:6" ht="22" customHeight="1">
      <c r="A6" s="26">
        <v>3</v>
      </c>
      <c r="B6" s="17" t="s">
        <v>97</v>
      </c>
      <c r="C6" s="24" t="s">
        <v>2</v>
      </c>
      <c r="D6" s="24" t="s">
        <v>3</v>
      </c>
      <c r="E6" s="17" t="s">
        <v>31</v>
      </c>
      <c r="F6" s="48">
        <v>3.2291666666666666E-3</v>
      </c>
    </row>
    <row r="7" spans="1:6" ht="22" customHeight="1">
      <c r="A7" s="26">
        <v>4</v>
      </c>
      <c r="B7" s="17" t="s">
        <v>85</v>
      </c>
      <c r="C7" s="24" t="s">
        <v>2</v>
      </c>
      <c r="D7" s="24" t="s">
        <v>3</v>
      </c>
      <c r="E7" s="17" t="s">
        <v>48</v>
      </c>
      <c r="F7" s="48">
        <v>1.9791666666666668E-3</v>
      </c>
    </row>
    <row r="8" spans="1:6" ht="22" customHeight="1">
      <c r="A8" s="26">
        <v>5</v>
      </c>
      <c r="B8" s="17" t="s">
        <v>89</v>
      </c>
      <c r="C8" s="24" t="s">
        <v>2</v>
      </c>
      <c r="D8" s="24" t="s">
        <v>3</v>
      </c>
      <c r="E8" s="17" t="s">
        <v>48</v>
      </c>
      <c r="F8" s="48">
        <v>3.0439814814814817E-3</v>
      </c>
    </row>
    <row r="9" spans="1:6" ht="22" customHeight="1">
      <c r="A9" s="26">
        <v>6</v>
      </c>
      <c r="B9" s="17" t="s">
        <v>54</v>
      </c>
      <c r="C9" s="24" t="s">
        <v>2</v>
      </c>
      <c r="D9" s="24" t="s">
        <v>3</v>
      </c>
      <c r="E9" s="17" t="s">
        <v>39</v>
      </c>
      <c r="F9" s="48">
        <v>2.7430555555555554E-3</v>
      </c>
    </row>
    <row r="10" spans="1:6" ht="22" customHeight="1">
      <c r="A10" s="26">
        <v>7</v>
      </c>
      <c r="B10" s="17" t="s">
        <v>78</v>
      </c>
      <c r="C10" s="24" t="s">
        <v>2</v>
      </c>
      <c r="D10" s="24" t="s">
        <v>3</v>
      </c>
      <c r="E10" s="17" t="s">
        <v>39</v>
      </c>
      <c r="F10" s="48">
        <v>2.5810185185185185E-3</v>
      </c>
    </row>
    <row r="11" spans="1:6" ht="22" customHeight="1">
      <c r="A11" s="26">
        <v>8</v>
      </c>
      <c r="B11" s="17" t="s">
        <v>72</v>
      </c>
      <c r="C11" s="24" t="s">
        <v>2</v>
      </c>
      <c r="D11" s="24" t="s">
        <v>3</v>
      </c>
      <c r="E11" s="17" t="s">
        <v>36</v>
      </c>
      <c r="F11" s="48">
        <v>2.6041666666666665E-3</v>
      </c>
    </row>
    <row r="12" spans="1:6" ht="22" customHeight="1">
      <c r="A12" s="26">
        <v>9</v>
      </c>
      <c r="B12" s="17" t="s">
        <v>67</v>
      </c>
      <c r="C12" s="24" t="s">
        <v>2</v>
      </c>
      <c r="D12" s="24" t="s">
        <v>3</v>
      </c>
      <c r="E12" s="17" t="s">
        <v>39</v>
      </c>
      <c r="F12" s="48">
        <v>1.9328703703703704E-3</v>
      </c>
    </row>
    <row r="13" spans="1:6" ht="22" customHeight="1">
      <c r="A13" s="26">
        <v>10</v>
      </c>
      <c r="B13" s="17" t="s">
        <v>114</v>
      </c>
      <c r="C13" s="24" t="s">
        <v>2</v>
      </c>
      <c r="D13" s="24" t="s">
        <v>3</v>
      </c>
      <c r="E13" s="17" t="s">
        <v>36</v>
      </c>
      <c r="F13" s="48">
        <v>3.4606481481481485E-3</v>
      </c>
    </row>
    <row r="14" spans="1:6" ht="22" customHeight="1">
      <c r="A14" s="26">
        <v>11</v>
      </c>
      <c r="B14" s="17" t="s">
        <v>94</v>
      </c>
      <c r="C14" s="24" t="s">
        <v>2</v>
      </c>
      <c r="D14" s="24" t="s">
        <v>3</v>
      </c>
      <c r="E14" s="17" t="s">
        <v>39</v>
      </c>
      <c r="F14" s="48">
        <v>3.5995370370370369E-3</v>
      </c>
    </row>
    <row r="15" spans="1:6" ht="22" customHeight="1">
      <c r="A15" s="26">
        <v>12</v>
      </c>
      <c r="B15" s="17" t="s">
        <v>106</v>
      </c>
      <c r="C15" s="24" t="s">
        <v>2</v>
      </c>
      <c r="D15" s="24" t="s">
        <v>3</v>
      </c>
      <c r="E15" s="17" t="s">
        <v>36</v>
      </c>
      <c r="F15" s="48">
        <v>3.3680555555555556E-3</v>
      </c>
    </row>
    <row r="16" spans="1:6" ht="22" customHeight="1">
      <c r="A16" s="26">
        <v>13</v>
      </c>
      <c r="B16" s="17" t="s">
        <v>63</v>
      </c>
      <c r="C16" s="24" t="s">
        <v>2</v>
      </c>
      <c r="D16" s="24" t="s">
        <v>3</v>
      </c>
      <c r="E16" s="17" t="s">
        <v>31</v>
      </c>
      <c r="F16" s="48">
        <v>2.7893518518518519E-3</v>
      </c>
    </row>
    <row r="17" spans="1:6" ht="22" customHeight="1">
      <c r="A17" s="26">
        <v>14</v>
      </c>
      <c r="B17" s="17" t="s">
        <v>108</v>
      </c>
      <c r="C17" s="24" t="s">
        <v>2</v>
      </c>
      <c r="D17" s="24" t="s">
        <v>3</v>
      </c>
      <c r="E17" s="17" t="s">
        <v>36</v>
      </c>
      <c r="F17" s="48">
        <v>2.6041666666666665E-3</v>
      </c>
    </row>
    <row r="18" spans="1:6" ht="22" customHeight="1">
      <c r="A18" s="26">
        <v>15</v>
      </c>
      <c r="B18" s="17" t="s">
        <v>127</v>
      </c>
      <c r="C18" s="24" t="s">
        <v>2</v>
      </c>
      <c r="D18" s="24" t="s">
        <v>3</v>
      </c>
      <c r="E18" s="17" t="s">
        <v>31</v>
      </c>
      <c r="F18" s="48">
        <v>2.0949074074074073E-3</v>
      </c>
    </row>
    <row r="19" spans="1:6" ht="22" customHeight="1">
      <c r="A19" s="26">
        <v>16</v>
      </c>
      <c r="B19" s="17" t="s">
        <v>123</v>
      </c>
      <c r="C19" s="24" t="s">
        <v>2</v>
      </c>
      <c r="D19" s="24" t="s">
        <v>3</v>
      </c>
      <c r="E19" s="17" t="s">
        <v>36</v>
      </c>
      <c r="F19" s="48">
        <v>3.3217592592592595E-3</v>
      </c>
    </row>
    <row r="20" spans="1:6" ht="22" customHeight="1">
      <c r="A20" s="26">
        <v>17</v>
      </c>
      <c r="B20" s="17" t="s">
        <v>116</v>
      </c>
      <c r="C20" s="24" t="s">
        <v>2</v>
      </c>
      <c r="D20" s="24" t="s">
        <v>3</v>
      </c>
      <c r="E20" s="17" t="s">
        <v>36</v>
      </c>
      <c r="F20" s="48">
        <v>2.2569444444444442E-3</v>
      </c>
    </row>
    <row r="21" spans="1:6" ht="22" customHeight="1">
      <c r="A21" s="26">
        <v>18</v>
      </c>
      <c r="B21" s="17" t="s">
        <v>44</v>
      </c>
      <c r="C21" s="24" t="s">
        <v>2</v>
      </c>
      <c r="D21" s="24" t="s">
        <v>3</v>
      </c>
      <c r="E21" s="17" t="s">
        <v>31</v>
      </c>
      <c r="F21" s="48">
        <v>3.414351851851852E-3</v>
      </c>
    </row>
    <row r="22" spans="1:6" ht="22" customHeight="1">
      <c r="A22" s="26">
        <v>19</v>
      </c>
      <c r="B22" s="17" t="s">
        <v>99</v>
      </c>
      <c r="C22" s="24" t="s">
        <v>2</v>
      </c>
      <c r="D22" s="24" t="s">
        <v>3</v>
      </c>
      <c r="E22" s="17" t="s">
        <v>39</v>
      </c>
      <c r="F22" s="48">
        <v>2.9513888888888888E-3</v>
      </c>
    </row>
    <row r="23" spans="1:6" ht="22" customHeight="1">
      <c r="A23" s="26">
        <v>20</v>
      </c>
      <c r="B23" s="17" t="s">
        <v>245</v>
      </c>
      <c r="C23" s="24" t="s">
        <v>2</v>
      </c>
      <c r="D23" s="24" t="s">
        <v>3</v>
      </c>
      <c r="E23" s="17" t="s">
        <v>39</v>
      </c>
      <c r="F23" s="48">
        <v>2.5810185185185185E-3</v>
      </c>
    </row>
    <row r="24" spans="1:6" ht="22" customHeight="1">
      <c r="A24" s="26">
        <v>21</v>
      </c>
      <c r="B24" s="17" t="s">
        <v>82</v>
      </c>
      <c r="C24" s="24" t="s">
        <v>2</v>
      </c>
      <c r="D24" s="25"/>
      <c r="E24" s="17" t="s">
        <v>36</v>
      </c>
      <c r="F24" s="48">
        <v>3.8541666666666663E-3</v>
      </c>
    </row>
    <row r="25" spans="1:6" ht="22" customHeight="1">
      <c r="A25" s="26">
        <v>22</v>
      </c>
      <c r="B25" s="17" t="s">
        <v>101</v>
      </c>
      <c r="C25" s="24" t="s">
        <v>2</v>
      </c>
      <c r="D25" s="24" t="s">
        <v>3</v>
      </c>
      <c r="E25" s="17" t="s">
        <v>31</v>
      </c>
      <c r="F25" s="48">
        <v>4.1319444444444442E-3</v>
      </c>
    </row>
    <row r="26" spans="1:6" ht="22" customHeight="1">
      <c r="A26" s="26">
        <v>23</v>
      </c>
      <c r="B26" s="17" t="s">
        <v>92</v>
      </c>
      <c r="C26" s="24" t="s">
        <v>2</v>
      </c>
      <c r="D26" s="24" t="s">
        <v>3</v>
      </c>
      <c r="E26" s="17" t="s">
        <v>36</v>
      </c>
      <c r="F26" s="48">
        <v>2.0486111111111113E-3</v>
      </c>
    </row>
    <row r="27" spans="1:6" ht="22" customHeight="1">
      <c r="A27" s="26">
        <v>24</v>
      </c>
      <c r="B27" s="17" t="s">
        <v>74</v>
      </c>
      <c r="C27" s="24" t="s">
        <v>2</v>
      </c>
      <c r="D27" s="24" t="s">
        <v>3</v>
      </c>
      <c r="E27" s="17" t="s">
        <v>39</v>
      </c>
      <c r="F27" s="48">
        <v>4.6874999999999998E-3</v>
      </c>
    </row>
    <row r="28" spans="1:6" ht="22" customHeight="1">
      <c r="A28" s="26">
        <v>25</v>
      </c>
      <c r="B28" s="17" t="s">
        <v>46</v>
      </c>
      <c r="C28" s="24" t="s">
        <v>2</v>
      </c>
      <c r="D28" s="24" t="s">
        <v>3</v>
      </c>
      <c r="E28" s="17" t="s">
        <v>48</v>
      </c>
      <c r="F28" s="48">
        <v>1.7476851851851852E-3</v>
      </c>
    </row>
    <row r="29" spans="1:6" ht="22" customHeight="1">
      <c r="A29" s="26">
        <v>26</v>
      </c>
      <c r="B29" s="17" t="s">
        <v>41</v>
      </c>
      <c r="C29" s="24" t="s">
        <v>2</v>
      </c>
      <c r="D29" s="24" t="s">
        <v>3</v>
      </c>
      <c r="E29" s="17" t="s">
        <v>39</v>
      </c>
      <c r="F29" s="48">
        <v>2.7199074074074074E-3</v>
      </c>
    </row>
    <row r="30" spans="1:6" ht="22" customHeight="1">
      <c r="A30" s="26">
        <v>27</v>
      </c>
      <c r="B30" s="17" t="s">
        <v>90</v>
      </c>
      <c r="C30" s="24" t="s">
        <v>2</v>
      </c>
      <c r="D30" s="24" t="s">
        <v>3</v>
      </c>
      <c r="E30" s="17" t="s">
        <v>36</v>
      </c>
      <c r="F30" s="48">
        <v>2.8587962962962963E-3</v>
      </c>
    </row>
    <row r="31" spans="1:6" ht="22" customHeight="1">
      <c r="A31" s="26">
        <v>28</v>
      </c>
      <c r="B31" s="17" t="s">
        <v>80</v>
      </c>
      <c r="C31" s="25"/>
      <c r="D31" s="24" t="s">
        <v>3</v>
      </c>
      <c r="E31" s="17" t="s">
        <v>39</v>
      </c>
      <c r="F31" s="48">
        <f>VLOOKUP(B31,'Song Tracker'!$A$3:$F$48,6,FALSE)</f>
        <v>2.6041666666666665E-3</v>
      </c>
    </row>
    <row r="32" spans="1:6" ht="22" customHeight="1">
      <c r="A32" s="26">
        <v>29</v>
      </c>
      <c r="B32" s="17" t="s">
        <v>103</v>
      </c>
      <c r="C32" s="24" t="s">
        <v>2</v>
      </c>
      <c r="D32" s="24" t="s">
        <v>3</v>
      </c>
      <c r="E32" s="17" t="s">
        <v>31</v>
      </c>
      <c r="F32" s="48">
        <v>5.9606481481481481E-3</v>
      </c>
    </row>
    <row r="33" spans="1:6" ht="22" customHeight="1">
      <c r="A33" s="26">
        <v>30</v>
      </c>
      <c r="B33" s="17" t="s">
        <v>70</v>
      </c>
      <c r="C33" s="24" t="s">
        <v>2</v>
      </c>
      <c r="D33" s="24" t="s">
        <v>3</v>
      </c>
      <c r="E33" s="17" t="s">
        <v>31</v>
      </c>
      <c r="F33" s="48">
        <v>2.4305555555555556E-3</v>
      </c>
    </row>
    <row r="34" spans="1:6" ht="22" customHeight="1">
      <c r="A34" s="26">
        <v>31</v>
      </c>
      <c r="B34" s="17" t="s">
        <v>118</v>
      </c>
      <c r="C34" s="24" t="s">
        <v>2</v>
      </c>
      <c r="D34" s="24" t="s">
        <v>3</v>
      </c>
      <c r="E34" s="17" t="s">
        <v>36</v>
      </c>
      <c r="F34" s="48">
        <f>VLOOKUP(B34,'Song Tracker'!$A$3:$F$48,6,FALSE)</f>
        <v>3.472222222222222E-3</v>
      </c>
    </row>
    <row r="35" spans="1:6" ht="22" customHeight="1">
      <c r="A35" s="18"/>
      <c r="B35" s="16"/>
      <c r="C35" s="19"/>
      <c r="D35" s="19"/>
      <c r="E35" s="16"/>
      <c r="F35" s="49"/>
    </row>
    <row r="36" spans="1:6" ht="22" customHeight="1" thickBot="1">
      <c r="A36" s="20"/>
      <c r="B36" s="21" t="s">
        <v>243</v>
      </c>
      <c r="C36" s="22"/>
      <c r="D36" s="22"/>
      <c r="E36" s="21"/>
      <c r="F36" s="23">
        <f>SUM(F4:F35)</f>
        <v>9.1747685185185168E-2</v>
      </c>
    </row>
  </sheetData>
  <mergeCells count="2">
    <mergeCell ref="A1:F1"/>
    <mergeCell ref="A2:F2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  <hyperlink ref="C17" r:id="rId27" xr:uid="{00000000-0004-0000-0B00-00001A000000}"/>
    <hyperlink ref="D17" r:id="rId28" xr:uid="{00000000-0004-0000-0B00-00001B000000}"/>
    <hyperlink ref="C18" r:id="rId29" xr:uid="{00000000-0004-0000-0B00-00001C000000}"/>
    <hyperlink ref="D18" r:id="rId30" xr:uid="{00000000-0004-0000-0B00-00001D000000}"/>
    <hyperlink ref="C19" r:id="rId31" xr:uid="{00000000-0004-0000-0B00-00001E000000}"/>
    <hyperlink ref="D19" r:id="rId32" xr:uid="{00000000-0004-0000-0B00-00001F000000}"/>
    <hyperlink ref="C20" r:id="rId33" xr:uid="{00000000-0004-0000-0B00-000020000000}"/>
    <hyperlink ref="D20" r:id="rId34" xr:uid="{00000000-0004-0000-0B00-000021000000}"/>
    <hyperlink ref="C21" r:id="rId35" xr:uid="{00000000-0004-0000-0B00-000022000000}"/>
    <hyperlink ref="D21" r:id="rId36" xr:uid="{00000000-0004-0000-0B00-000023000000}"/>
    <hyperlink ref="C22" r:id="rId37" xr:uid="{00000000-0004-0000-0B00-000024000000}"/>
    <hyperlink ref="D22" r:id="rId38" xr:uid="{00000000-0004-0000-0B00-000025000000}"/>
    <hyperlink ref="C23" r:id="rId39" xr:uid="{00000000-0004-0000-0B00-000026000000}"/>
    <hyperlink ref="D23" r:id="rId40" xr:uid="{00000000-0004-0000-0B00-000027000000}"/>
    <hyperlink ref="C24" r:id="rId41" xr:uid="{00000000-0004-0000-0B00-000028000000}"/>
    <hyperlink ref="C25" r:id="rId42" xr:uid="{00000000-0004-0000-0B00-000029000000}"/>
    <hyperlink ref="D25" r:id="rId43" xr:uid="{00000000-0004-0000-0B00-00002A000000}"/>
    <hyperlink ref="C26" r:id="rId44" xr:uid="{00000000-0004-0000-0B00-00002B000000}"/>
    <hyperlink ref="D26" r:id="rId45" xr:uid="{00000000-0004-0000-0B00-00002C000000}"/>
    <hyperlink ref="C27" r:id="rId46" xr:uid="{00000000-0004-0000-0B00-00002D000000}"/>
    <hyperlink ref="D27" r:id="rId47" xr:uid="{00000000-0004-0000-0B00-00002E000000}"/>
    <hyperlink ref="C28" r:id="rId48" xr:uid="{00000000-0004-0000-0B00-00002F000000}"/>
    <hyperlink ref="D28" r:id="rId49" xr:uid="{00000000-0004-0000-0B00-000030000000}"/>
    <hyperlink ref="C29" r:id="rId50" xr:uid="{00000000-0004-0000-0B00-000031000000}"/>
    <hyperlink ref="D29" r:id="rId51" xr:uid="{00000000-0004-0000-0B00-000032000000}"/>
    <hyperlink ref="C30" r:id="rId52" xr:uid="{00000000-0004-0000-0B00-000033000000}"/>
    <hyperlink ref="D30" r:id="rId53" xr:uid="{00000000-0004-0000-0B00-000034000000}"/>
    <hyperlink ref="D31" r:id="rId54" xr:uid="{00000000-0004-0000-0B00-000035000000}"/>
    <hyperlink ref="C32" r:id="rId55" xr:uid="{00000000-0004-0000-0B00-000036000000}"/>
    <hyperlink ref="D32" r:id="rId56" xr:uid="{00000000-0004-0000-0B00-000037000000}"/>
    <hyperlink ref="C33" r:id="rId57" xr:uid="{00000000-0004-0000-0B00-000038000000}"/>
    <hyperlink ref="D33" r:id="rId58" xr:uid="{00000000-0004-0000-0B00-000039000000}"/>
    <hyperlink ref="C34" r:id="rId59" xr:uid="{00000000-0004-0000-0B00-00003A000000}"/>
    <hyperlink ref="D34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263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90</v>
      </c>
      <c r="C4" s="24" t="s">
        <v>2</v>
      </c>
      <c r="D4" s="24" t="s">
        <v>3</v>
      </c>
      <c r="E4" s="17" t="s">
        <v>36</v>
      </c>
      <c r="F4" s="48">
        <v>2.8587962962962963E-3</v>
      </c>
    </row>
    <row r="5" spans="1:6" ht="22" customHeight="1">
      <c r="A5" s="26">
        <v>2</v>
      </c>
      <c r="B5" s="17" t="s">
        <v>49</v>
      </c>
      <c r="C5" s="24" t="s">
        <v>2</v>
      </c>
      <c r="D5" s="24" t="s">
        <v>3</v>
      </c>
      <c r="E5" s="17" t="s">
        <v>31</v>
      </c>
      <c r="F5" s="48">
        <v>2.1874999999999998E-3</v>
      </c>
    </row>
    <row r="6" spans="1:6" ht="22" customHeight="1">
      <c r="A6" s="26">
        <v>3</v>
      </c>
      <c r="B6" s="17" t="s">
        <v>41</v>
      </c>
      <c r="C6" s="24" t="s">
        <v>2</v>
      </c>
      <c r="D6" s="24" t="s">
        <v>3</v>
      </c>
      <c r="E6" s="17" t="s">
        <v>39</v>
      </c>
      <c r="F6" s="48">
        <v>2.7199074074074074E-3</v>
      </c>
    </row>
    <row r="7" spans="1:6" ht="22" customHeight="1">
      <c r="A7" s="26">
        <v>4</v>
      </c>
      <c r="B7" s="17" t="s">
        <v>106</v>
      </c>
      <c r="C7" s="24" t="s">
        <v>2</v>
      </c>
      <c r="D7" s="24" t="s">
        <v>3</v>
      </c>
      <c r="E7" s="17" t="s">
        <v>36</v>
      </c>
      <c r="F7" s="48">
        <v>3.3680555555555556E-3</v>
      </c>
    </row>
    <row r="8" spans="1:6" ht="22" customHeight="1">
      <c r="A8" s="26">
        <v>5</v>
      </c>
      <c r="B8" s="17" t="s">
        <v>113</v>
      </c>
      <c r="C8" s="24" t="s">
        <v>2</v>
      </c>
      <c r="D8" s="24" t="s">
        <v>3</v>
      </c>
      <c r="E8" s="17" t="s">
        <v>31</v>
      </c>
      <c r="F8" s="48">
        <f>VLOOKUP(B8,'Song Tracker'!$A$3:$F$48,6,FALSE)</f>
        <v>2.0023148148148148E-3</v>
      </c>
    </row>
    <row r="9" spans="1:6" ht="22" customHeight="1">
      <c r="A9" s="26">
        <v>6</v>
      </c>
      <c r="B9" s="17" t="s">
        <v>99</v>
      </c>
      <c r="C9" s="24" t="s">
        <v>2</v>
      </c>
      <c r="D9" s="24" t="s">
        <v>3</v>
      </c>
      <c r="E9" s="17" t="s">
        <v>39</v>
      </c>
      <c r="F9" s="48">
        <v>2.9513888888888888E-3</v>
      </c>
    </row>
    <row r="10" spans="1:6" ht="22" customHeight="1">
      <c r="A10" s="26">
        <v>7</v>
      </c>
      <c r="B10" s="17" t="s">
        <v>116</v>
      </c>
      <c r="C10" s="24" t="s">
        <v>2</v>
      </c>
      <c r="D10" s="24" t="s">
        <v>3</v>
      </c>
      <c r="E10" s="17" t="s">
        <v>36</v>
      </c>
      <c r="F10" s="48">
        <v>2.2569444444444442E-3</v>
      </c>
    </row>
    <row r="11" spans="1:6" ht="22" customHeight="1">
      <c r="A11" s="26">
        <v>8</v>
      </c>
      <c r="B11" s="17" t="s">
        <v>70</v>
      </c>
      <c r="C11" s="24" t="s">
        <v>2</v>
      </c>
      <c r="D11" s="24" t="s">
        <v>3</v>
      </c>
      <c r="E11" s="17" t="s">
        <v>31</v>
      </c>
      <c r="F11" s="48">
        <v>2.4305555555555556E-3</v>
      </c>
    </row>
    <row r="12" spans="1:6" ht="22" customHeight="1">
      <c r="A12" s="26">
        <v>9</v>
      </c>
      <c r="B12" s="17" t="s">
        <v>94</v>
      </c>
      <c r="C12" s="24" t="s">
        <v>2</v>
      </c>
      <c r="D12" s="24" t="s">
        <v>3</v>
      </c>
      <c r="E12" s="17" t="s">
        <v>39</v>
      </c>
      <c r="F12" s="48">
        <v>3.5995370370370369E-3</v>
      </c>
    </row>
    <row r="13" spans="1:6" ht="22" customHeight="1">
      <c r="A13" s="26">
        <v>10</v>
      </c>
      <c r="B13" s="17" t="s">
        <v>120</v>
      </c>
      <c r="C13" s="24" t="s">
        <v>2</v>
      </c>
      <c r="D13" s="24" t="s">
        <v>3</v>
      </c>
      <c r="E13" s="17" t="s">
        <v>31</v>
      </c>
      <c r="F13" s="48">
        <f>VLOOKUP(B13,'Song Tracker'!$A$3:$F$48,6,FALSE)</f>
        <v>2.0833333333333333E-3</v>
      </c>
    </row>
    <row r="14" spans="1:6" ht="22" customHeight="1">
      <c r="A14" s="26">
        <v>11</v>
      </c>
      <c r="B14" s="17" t="s">
        <v>54</v>
      </c>
      <c r="C14" s="24" t="s">
        <v>2</v>
      </c>
      <c r="D14" s="24" t="s">
        <v>3</v>
      </c>
      <c r="E14" s="17" t="s">
        <v>39</v>
      </c>
      <c r="F14" s="48">
        <v>2.7430555555555554E-3</v>
      </c>
    </row>
    <row r="15" spans="1:6" ht="22" customHeight="1">
      <c r="A15" s="26">
        <v>12</v>
      </c>
      <c r="B15" s="17" t="s">
        <v>92</v>
      </c>
      <c r="C15" s="24" t="s">
        <v>2</v>
      </c>
      <c r="D15" s="24" t="s">
        <v>3</v>
      </c>
      <c r="E15" s="17" t="s">
        <v>36</v>
      </c>
      <c r="F15" s="48">
        <v>2.0486111111111113E-3</v>
      </c>
    </row>
    <row r="16" spans="1:6" ht="22" customHeight="1">
      <c r="A16" s="26">
        <v>13</v>
      </c>
      <c r="B16" s="17" t="s">
        <v>123</v>
      </c>
      <c r="C16" s="24" t="s">
        <v>2</v>
      </c>
      <c r="D16" s="24" t="s">
        <v>3</v>
      </c>
      <c r="E16" s="17" t="s">
        <v>36</v>
      </c>
      <c r="F16" s="48">
        <v>3.3217592592592595E-3</v>
      </c>
    </row>
    <row r="17" spans="1:6">
      <c r="A17" s="18"/>
      <c r="B17" s="16"/>
      <c r="C17" s="19"/>
      <c r="D17" s="19"/>
      <c r="E17" s="16"/>
      <c r="F17" s="49"/>
    </row>
    <row r="18" spans="1:6" ht="22" customHeight="1" thickBot="1">
      <c r="A18" s="20"/>
      <c r="B18" s="21" t="s">
        <v>243</v>
      </c>
      <c r="C18" s="22"/>
      <c r="D18" s="22"/>
      <c r="E18" s="21"/>
      <c r="F18" s="23">
        <f>SUM(F4:F17)</f>
        <v>3.4571759259259253E-2</v>
      </c>
    </row>
  </sheetData>
  <mergeCells count="2">
    <mergeCell ref="A1:F1"/>
    <mergeCell ref="A2:F2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264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78</v>
      </c>
      <c r="C5" s="24" t="s">
        <v>2</v>
      </c>
      <c r="D5" s="24" t="s">
        <v>3</v>
      </c>
      <c r="E5" s="17" t="s">
        <v>39</v>
      </c>
      <c r="F5" s="48">
        <v>2.5810185185185185E-3</v>
      </c>
    </row>
    <row r="6" spans="1:6" ht="22" customHeight="1">
      <c r="A6" s="26">
        <v>3</v>
      </c>
      <c r="B6" s="17" t="s">
        <v>99</v>
      </c>
      <c r="C6" s="24" t="s">
        <v>2</v>
      </c>
      <c r="D6" s="24" t="s">
        <v>3</v>
      </c>
      <c r="E6" s="17" t="s">
        <v>39</v>
      </c>
      <c r="F6" s="48">
        <v>2.9513888888888888E-3</v>
      </c>
    </row>
    <row r="7" spans="1:6" ht="22" customHeight="1">
      <c r="A7" s="26">
        <v>5</v>
      </c>
      <c r="B7" s="17" t="s">
        <v>106</v>
      </c>
      <c r="C7" s="24" t="s">
        <v>2</v>
      </c>
      <c r="D7" s="24" t="s">
        <v>3</v>
      </c>
      <c r="E7" s="17" t="s">
        <v>36</v>
      </c>
      <c r="F7" s="48">
        <v>3.3680555555555556E-3</v>
      </c>
    </row>
    <row r="8" spans="1:6" ht="22" customHeight="1">
      <c r="A8" s="26">
        <v>6</v>
      </c>
      <c r="B8" s="17" t="s">
        <v>28</v>
      </c>
      <c r="C8" s="25"/>
      <c r="D8" s="25"/>
      <c r="E8" s="17" t="s">
        <v>31</v>
      </c>
      <c r="F8" s="48">
        <f>VLOOKUP(B8,'Song Tracker'!$A$3:$F$48,6,FALSE)</f>
        <v>2.7662037037037039E-3</v>
      </c>
    </row>
    <row r="9" spans="1:6" ht="22" customHeight="1">
      <c r="A9" s="26">
        <v>7</v>
      </c>
      <c r="B9" s="17" t="s">
        <v>70</v>
      </c>
      <c r="C9" s="24" t="s">
        <v>2</v>
      </c>
      <c r="D9" s="24" t="s">
        <v>3</v>
      </c>
      <c r="E9" s="17" t="s">
        <v>31</v>
      </c>
      <c r="F9" s="48">
        <v>2.4305555555555556E-3</v>
      </c>
    </row>
    <row r="10" spans="1:6" ht="22" customHeight="1">
      <c r="A10" s="26">
        <v>8</v>
      </c>
      <c r="B10" s="17" t="s">
        <v>127</v>
      </c>
      <c r="C10" s="24" t="s">
        <v>2</v>
      </c>
      <c r="D10" s="24" t="s">
        <v>3</v>
      </c>
      <c r="E10" s="17" t="s">
        <v>31</v>
      </c>
      <c r="F10" s="48">
        <v>2.0949074074074073E-3</v>
      </c>
    </row>
    <row r="11" spans="1:6" ht="22" customHeight="1">
      <c r="A11" s="26">
        <v>9</v>
      </c>
      <c r="B11" s="17" t="s">
        <v>63</v>
      </c>
      <c r="C11" s="24" t="s">
        <v>2</v>
      </c>
      <c r="D11" s="24" t="s">
        <v>3</v>
      </c>
      <c r="E11" s="17" t="s">
        <v>31</v>
      </c>
      <c r="F11" s="48">
        <v>2.7893518518518519E-3</v>
      </c>
    </row>
    <row r="12" spans="1:6" ht="22" customHeight="1">
      <c r="A12" s="26">
        <v>10</v>
      </c>
      <c r="B12" s="17" t="s">
        <v>94</v>
      </c>
      <c r="C12" s="24" t="s">
        <v>2</v>
      </c>
      <c r="D12" s="24" t="s">
        <v>3</v>
      </c>
      <c r="E12" s="17" t="s">
        <v>39</v>
      </c>
      <c r="F12" s="48">
        <v>3.5995370370370369E-3</v>
      </c>
    </row>
    <row r="13" spans="1:6" ht="22" customHeight="1">
      <c r="A13" s="26">
        <v>11</v>
      </c>
      <c r="B13" s="17" t="s">
        <v>80</v>
      </c>
      <c r="C13" s="25"/>
      <c r="D13" s="24" t="s">
        <v>3</v>
      </c>
      <c r="E13" s="17" t="s">
        <v>39</v>
      </c>
      <c r="F13" s="48">
        <f>VLOOKUP(B13,'Song Tracker'!$A$3:$F$48,6,FALSE)</f>
        <v>2.6041666666666665E-3</v>
      </c>
    </row>
    <row r="14" spans="1:6" ht="22" customHeight="1">
      <c r="A14" s="26">
        <v>12</v>
      </c>
      <c r="B14" s="17" t="s">
        <v>101</v>
      </c>
      <c r="C14" s="24" t="s">
        <v>2</v>
      </c>
      <c r="D14" s="24" t="s">
        <v>3</v>
      </c>
      <c r="E14" s="17" t="s">
        <v>31</v>
      </c>
      <c r="F14" s="48">
        <v>4.1319444444444442E-3</v>
      </c>
    </row>
    <row r="15" spans="1:6" ht="22" customHeight="1">
      <c r="A15" s="26">
        <v>13</v>
      </c>
      <c r="B15" s="17" t="s">
        <v>120</v>
      </c>
      <c r="C15" s="24" t="s">
        <v>2</v>
      </c>
      <c r="D15" s="24" t="s">
        <v>3</v>
      </c>
      <c r="E15" s="17" t="s">
        <v>31</v>
      </c>
      <c r="F15" s="48">
        <f>VLOOKUP(B15,'Song Tracker'!$A$3:$F$48,6,FALSE)</f>
        <v>2.0833333333333333E-3</v>
      </c>
    </row>
    <row r="16" spans="1:6" ht="22" customHeight="1">
      <c r="A16" s="26">
        <v>14</v>
      </c>
      <c r="B16" s="17" t="s">
        <v>123</v>
      </c>
      <c r="C16" s="24" t="s">
        <v>2</v>
      </c>
      <c r="D16" s="24" t="s">
        <v>3</v>
      </c>
      <c r="E16" s="17" t="s">
        <v>36</v>
      </c>
      <c r="F16" s="48">
        <v>3.3217592592592595E-3</v>
      </c>
    </row>
    <row r="17" spans="1:6" ht="22" customHeight="1">
      <c r="A17" s="26">
        <v>15</v>
      </c>
      <c r="B17" s="17" t="s">
        <v>124</v>
      </c>
      <c r="C17" s="25"/>
      <c r="D17" s="25"/>
      <c r="E17" s="17" t="s">
        <v>126</v>
      </c>
      <c r="F17" s="48"/>
    </row>
    <row r="18" spans="1:6">
      <c r="A18" s="18"/>
      <c r="B18" s="16"/>
      <c r="C18" s="19"/>
      <c r="D18" s="19"/>
      <c r="E18" s="16"/>
      <c r="F18" s="49"/>
    </row>
    <row r="19" spans="1:6" ht="22" customHeight="1" thickBot="1">
      <c r="A19" s="20"/>
      <c r="B19" s="21" t="s">
        <v>243</v>
      </c>
      <c r="C19" s="22"/>
      <c r="D19" s="22"/>
      <c r="E19" s="21"/>
      <c r="F19" s="23">
        <f>SUM(F4:F18)</f>
        <v>3.6909722222222219E-2</v>
      </c>
    </row>
  </sheetData>
  <mergeCells count="2">
    <mergeCell ref="A1:F1"/>
    <mergeCell ref="A2:F2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9" r:id="rId9" xr:uid="{00000000-0004-0000-0D00-000008000000}"/>
    <hyperlink ref="D9" r:id="rId10" xr:uid="{00000000-0004-0000-0D00-000009000000}"/>
    <hyperlink ref="C10" r:id="rId11" xr:uid="{00000000-0004-0000-0D00-00000A000000}"/>
    <hyperlink ref="D10" r:id="rId12" xr:uid="{00000000-0004-0000-0D00-00000B000000}"/>
    <hyperlink ref="C11" r:id="rId13" xr:uid="{00000000-0004-0000-0D00-00000C000000}"/>
    <hyperlink ref="D11" r:id="rId14" xr:uid="{00000000-0004-0000-0D00-00000D000000}"/>
    <hyperlink ref="C12" r:id="rId15" xr:uid="{00000000-0004-0000-0D00-00000E000000}"/>
    <hyperlink ref="D12" r:id="rId16" xr:uid="{00000000-0004-0000-0D00-00000F000000}"/>
    <hyperlink ref="D13" r:id="rId17" xr:uid="{00000000-0004-0000-0D00-000010000000}"/>
    <hyperlink ref="C14" r:id="rId18" xr:uid="{00000000-0004-0000-0D00-000011000000}"/>
    <hyperlink ref="D14" r:id="rId19" xr:uid="{00000000-0004-0000-0D00-000012000000}"/>
    <hyperlink ref="C15" r:id="rId20" xr:uid="{00000000-0004-0000-0D00-000013000000}"/>
    <hyperlink ref="D15" r:id="rId21" xr:uid="{00000000-0004-0000-0D00-000014000000}"/>
    <hyperlink ref="C16" r:id="rId22" xr:uid="{00000000-0004-0000-0D00-000015000000}"/>
    <hyperlink ref="D16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265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78</v>
      </c>
      <c r="C5" s="24" t="s">
        <v>2</v>
      </c>
      <c r="D5" s="24" t="s">
        <v>3</v>
      </c>
      <c r="E5" s="17" t="s">
        <v>39</v>
      </c>
      <c r="F5" s="48">
        <v>2.5810185185185185E-3</v>
      </c>
    </row>
    <row r="6" spans="1:6" ht="22" customHeight="1">
      <c r="A6" s="26">
        <v>3</v>
      </c>
      <c r="B6" s="17" t="s">
        <v>99</v>
      </c>
      <c r="C6" s="24" t="s">
        <v>2</v>
      </c>
      <c r="D6" s="24" t="s">
        <v>3</v>
      </c>
      <c r="E6" s="17" t="s">
        <v>39</v>
      </c>
      <c r="F6" s="48">
        <v>2.9513888888888888E-3</v>
      </c>
    </row>
    <row r="7" spans="1:6" ht="22" customHeight="1">
      <c r="A7" s="26">
        <v>4</v>
      </c>
      <c r="B7" s="17" t="s">
        <v>52</v>
      </c>
      <c r="C7" s="24" t="s">
        <v>2</v>
      </c>
      <c r="D7" s="24" t="s">
        <v>3</v>
      </c>
      <c r="E7" s="17" t="s">
        <v>31</v>
      </c>
      <c r="F7" s="48">
        <f>VLOOKUP(B7,'Song Tracker'!$A$3:$F$48,6,FALSE)</f>
        <v>5.5555555555555558E-3</v>
      </c>
    </row>
    <row r="8" spans="1:6" ht="22" customHeight="1">
      <c r="A8" s="26">
        <v>5</v>
      </c>
      <c r="B8" s="17" t="s">
        <v>106</v>
      </c>
      <c r="C8" s="24" t="s">
        <v>2</v>
      </c>
      <c r="D8" s="24" t="s">
        <v>3</v>
      </c>
      <c r="E8" s="17" t="s">
        <v>36</v>
      </c>
      <c r="F8" s="48">
        <v>3.3680555555555556E-3</v>
      </c>
    </row>
    <row r="9" spans="1:6" ht="22" customHeight="1">
      <c r="A9" s="26">
        <v>6</v>
      </c>
      <c r="B9" s="17" t="s">
        <v>114</v>
      </c>
      <c r="C9" s="24" t="s">
        <v>2</v>
      </c>
      <c r="D9" s="24" t="s">
        <v>3</v>
      </c>
      <c r="E9" s="17" t="s">
        <v>36</v>
      </c>
      <c r="F9" s="48">
        <v>3.4606481481481485E-3</v>
      </c>
    </row>
    <row r="10" spans="1:6" ht="22" customHeight="1">
      <c r="A10" s="26">
        <v>7</v>
      </c>
      <c r="B10" s="17" t="s">
        <v>97</v>
      </c>
      <c r="C10" s="24" t="s">
        <v>2</v>
      </c>
      <c r="D10" s="24" t="s">
        <v>3</v>
      </c>
      <c r="E10" s="17" t="s">
        <v>31</v>
      </c>
      <c r="F10" s="48">
        <v>3.2291666666666666E-3</v>
      </c>
    </row>
    <row r="11" spans="1:6" ht="22" customHeight="1">
      <c r="A11" s="26">
        <v>8</v>
      </c>
      <c r="B11" s="17" t="s">
        <v>28</v>
      </c>
      <c r="C11" s="25"/>
      <c r="D11" s="25"/>
      <c r="E11" s="17" t="s">
        <v>31</v>
      </c>
      <c r="F11" s="48">
        <f>VLOOKUP(B11,'Song Tracker'!$A$3:$F$48,6,FALSE)</f>
        <v>2.7662037037037039E-3</v>
      </c>
    </row>
    <row r="12" spans="1:6" ht="22" customHeight="1">
      <c r="A12" s="26">
        <v>9</v>
      </c>
      <c r="B12" s="17" t="s">
        <v>70</v>
      </c>
      <c r="C12" s="24" t="s">
        <v>2</v>
      </c>
      <c r="D12" s="24" t="s">
        <v>3</v>
      </c>
      <c r="E12" s="17" t="s">
        <v>31</v>
      </c>
      <c r="F12" s="48">
        <v>2.4305555555555556E-3</v>
      </c>
    </row>
    <row r="13" spans="1:6" ht="22" customHeight="1">
      <c r="A13" s="26">
        <v>10</v>
      </c>
      <c r="B13" s="17" t="s">
        <v>57</v>
      </c>
      <c r="C13" s="24" t="s">
        <v>2</v>
      </c>
      <c r="D13" s="24" t="s">
        <v>3</v>
      </c>
      <c r="E13" s="17" t="s">
        <v>39</v>
      </c>
      <c r="F13" s="48">
        <f>VLOOKUP(B13,'Song Tracker'!$A$3:$F$48,6,FALSE)</f>
        <v>2.3032407407407407E-3</v>
      </c>
    </row>
    <row r="14" spans="1:6" ht="22" customHeight="1">
      <c r="A14" s="26">
        <v>11</v>
      </c>
      <c r="B14" s="17" t="s">
        <v>127</v>
      </c>
      <c r="C14" s="24" t="s">
        <v>2</v>
      </c>
      <c r="D14" s="24" t="s">
        <v>3</v>
      </c>
      <c r="E14" s="17" t="s">
        <v>31</v>
      </c>
      <c r="F14" s="48">
        <v>2.0949074074074073E-3</v>
      </c>
    </row>
    <row r="15" spans="1:6" ht="22" customHeight="1">
      <c r="A15" s="26">
        <v>12</v>
      </c>
      <c r="B15" s="17" t="s">
        <v>92</v>
      </c>
      <c r="C15" s="24" t="s">
        <v>2</v>
      </c>
      <c r="D15" s="24" t="s">
        <v>3</v>
      </c>
      <c r="E15" s="17" t="s">
        <v>36</v>
      </c>
      <c r="F15" s="48">
        <v>2.0486111111111113E-3</v>
      </c>
    </row>
    <row r="16" spans="1:6" ht="22" customHeight="1">
      <c r="A16" s="26">
        <v>13</v>
      </c>
      <c r="B16" s="17" t="s">
        <v>116</v>
      </c>
      <c r="C16" s="24" t="s">
        <v>2</v>
      </c>
      <c r="D16" s="24" t="s">
        <v>3</v>
      </c>
      <c r="E16" s="17" t="s">
        <v>36</v>
      </c>
      <c r="F16" s="48">
        <v>2.2569444444444442E-3</v>
      </c>
    </row>
    <row r="17" spans="1:6" ht="22" customHeight="1">
      <c r="A17" s="26">
        <v>14</v>
      </c>
      <c r="B17" s="17" t="s">
        <v>63</v>
      </c>
      <c r="C17" s="24" t="s">
        <v>2</v>
      </c>
      <c r="D17" s="24" t="s">
        <v>3</v>
      </c>
      <c r="E17" s="17" t="s">
        <v>31</v>
      </c>
      <c r="F17" s="48">
        <v>2.7893518518518519E-3</v>
      </c>
    </row>
    <row r="18" spans="1:6" ht="22" customHeight="1">
      <c r="A18" s="26">
        <v>15</v>
      </c>
      <c r="B18" s="17" t="s">
        <v>94</v>
      </c>
      <c r="C18" s="24" t="s">
        <v>2</v>
      </c>
      <c r="D18" s="24" t="s">
        <v>3</v>
      </c>
      <c r="E18" s="17" t="s">
        <v>39</v>
      </c>
      <c r="F18" s="48">
        <v>3.5995370370370369E-3</v>
      </c>
    </row>
    <row r="19" spans="1:6" ht="22" customHeight="1">
      <c r="A19" s="26">
        <v>16</v>
      </c>
      <c r="B19" s="17" t="s">
        <v>65</v>
      </c>
      <c r="C19" s="24" t="s">
        <v>2</v>
      </c>
      <c r="D19" s="24" t="s">
        <v>3</v>
      </c>
      <c r="E19" s="17" t="s">
        <v>36</v>
      </c>
      <c r="F19" s="48">
        <v>2.488425925925926E-3</v>
      </c>
    </row>
    <row r="20" spans="1:6" ht="22" customHeight="1">
      <c r="A20" s="26">
        <v>17</v>
      </c>
      <c r="B20" s="17" t="s">
        <v>80</v>
      </c>
      <c r="C20" s="25"/>
      <c r="D20" s="24" t="s">
        <v>3</v>
      </c>
      <c r="E20" s="17" t="s">
        <v>39</v>
      </c>
      <c r="F20" s="48">
        <f>VLOOKUP(B20,'Song Tracker'!$A$3:$F$48,6,FALSE)</f>
        <v>2.6041666666666665E-3</v>
      </c>
    </row>
    <row r="21" spans="1:6" ht="22" customHeight="1">
      <c r="A21" s="26">
        <v>18</v>
      </c>
      <c r="B21" s="17" t="s">
        <v>85</v>
      </c>
      <c r="C21" s="24" t="s">
        <v>2</v>
      </c>
      <c r="D21" s="24" t="s">
        <v>3</v>
      </c>
      <c r="E21" s="17" t="s">
        <v>48</v>
      </c>
      <c r="F21" s="48">
        <v>1.9791666666666668E-3</v>
      </c>
    </row>
    <row r="22" spans="1:6" ht="22" customHeight="1">
      <c r="A22" s="26">
        <v>19</v>
      </c>
      <c r="B22" s="17" t="s">
        <v>46</v>
      </c>
      <c r="C22" s="24" t="s">
        <v>2</v>
      </c>
      <c r="D22" s="24" t="s">
        <v>3</v>
      </c>
      <c r="E22" s="17" t="s">
        <v>48</v>
      </c>
      <c r="F22" s="48">
        <v>1.7476851851851852E-3</v>
      </c>
    </row>
    <row r="23" spans="1:6" ht="22" customHeight="1">
      <c r="A23" s="26">
        <v>20</v>
      </c>
      <c r="B23" s="17" t="s">
        <v>245</v>
      </c>
      <c r="C23" s="24" t="s">
        <v>2</v>
      </c>
      <c r="D23" s="24" t="s">
        <v>3</v>
      </c>
      <c r="E23" s="17" t="s">
        <v>39</v>
      </c>
      <c r="F23" s="48">
        <v>2.5810185185185185E-3</v>
      </c>
    </row>
    <row r="24" spans="1:6" ht="22" customHeight="1">
      <c r="A24" s="26">
        <v>21</v>
      </c>
      <c r="B24" s="17" t="s">
        <v>101</v>
      </c>
      <c r="C24" s="24" t="s">
        <v>2</v>
      </c>
      <c r="D24" s="24" t="s">
        <v>3</v>
      </c>
      <c r="E24" s="17" t="s">
        <v>31</v>
      </c>
      <c r="F24" s="48">
        <v>4.1319444444444442E-3</v>
      </c>
    </row>
    <row r="25" spans="1:6" ht="22" customHeight="1">
      <c r="A25" s="26">
        <v>22</v>
      </c>
      <c r="B25" s="17" t="s">
        <v>82</v>
      </c>
      <c r="C25" s="24" t="s">
        <v>2</v>
      </c>
      <c r="D25" s="25"/>
      <c r="E25" s="17" t="s">
        <v>36</v>
      </c>
      <c r="F25" s="48">
        <v>3.8541666666666663E-3</v>
      </c>
    </row>
    <row r="26" spans="1:6" ht="22" customHeight="1">
      <c r="A26" s="26">
        <v>23</v>
      </c>
      <c r="B26" s="17" t="s">
        <v>34</v>
      </c>
      <c r="C26" s="24" t="s">
        <v>2</v>
      </c>
      <c r="D26" s="24" t="s">
        <v>3</v>
      </c>
      <c r="E26" s="17" t="s">
        <v>36</v>
      </c>
      <c r="F26" s="48">
        <f>VLOOKUP(B26,'Song Tracker'!$A$3:$F$48,6,FALSE)</f>
        <v>3.9583333333333337E-3</v>
      </c>
    </row>
    <row r="27" spans="1:6" ht="22" customHeight="1">
      <c r="A27" s="26">
        <v>24</v>
      </c>
      <c r="B27" s="17" t="s">
        <v>41</v>
      </c>
      <c r="C27" s="24" t="s">
        <v>2</v>
      </c>
      <c r="D27" s="24" t="s">
        <v>3</v>
      </c>
      <c r="E27" s="17" t="s">
        <v>39</v>
      </c>
      <c r="F27" s="48">
        <v>2.7199074074074074E-3</v>
      </c>
    </row>
    <row r="28" spans="1:6" ht="22" customHeight="1">
      <c r="A28" s="26">
        <v>25</v>
      </c>
      <c r="B28" s="17" t="s">
        <v>120</v>
      </c>
      <c r="C28" s="24" t="s">
        <v>2</v>
      </c>
      <c r="D28" s="24" t="s">
        <v>3</v>
      </c>
      <c r="E28" s="17" t="s">
        <v>31</v>
      </c>
      <c r="F28" s="48">
        <f>VLOOKUP(B28,'Song Tracker'!$A$3:$F$48,6,FALSE)</f>
        <v>2.0833333333333333E-3</v>
      </c>
    </row>
    <row r="29" spans="1:6" ht="22" customHeight="1">
      <c r="A29" s="26">
        <v>26</v>
      </c>
      <c r="B29" s="17" t="s">
        <v>74</v>
      </c>
      <c r="C29" s="24" t="s">
        <v>2</v>
      </c>
      <c r="D29" s="24" t="s">
        <v>3</v>
      </c>
      <c r="E29" s="17" t="s">
        <v>39</v>
      </c>
      <c r="F29" s="48">
        <v>4.6874999999999998E-3</v>
      </c>
    </row>
    <row r="30" spans="1:6" ht="22" customHeight="1">
      <c r="A30" s="26">
        <v>27</v>
      </c>
      <c r="B30" s="17" t="s">
        <v>123</v>
      </c>
      <c r="C30" s="24" t="s">
        <v>2</v>
      </c>
      <c r="D30" s="24" t="s">
        <v>3</v>
      </c>
      <c r="E30" s="17" t="s">
        <v>36</v>
      </c>
      <c r="F30" s="48">
        <v>3.3217592592592595E-3</v>
      </c>
    </row>
    <row r="31" spans="1:6" ht="22" customHeight="1">
      <c r="A31" s="26">
        <v>28</v>
      </c>
      <c r="B31" s="17" t="s">
        <v>103</v>
      </c>
      <c r="C31" s="24" t="s">
        <v>2</v>
      </c>
      <c r="D31" s="24" t="s">
        <v>3</v>
      </c>
      <c r="E31" s="17" t="s">
        <v>31</v>
      </c>
      <c r="F31" s="48">
        <v>5.9606481481481481E-3</v>
      </c>
    </row>
    <row r="32" spans="1:6">
      <c r="A32" s="18"/>
      <c r="B32" s="16"/>
      <c r="C32" s="19"/>
      <c r="D32" s="19"/>
      <c r="E32" s="16"/>
      <c r="F32" s="49"/>
    </row>
    <row r="33" spans="1:6" ht="22" customHeight="1" thickBot="1">
      <c r="A33" s="20"/>
      <c r="B33" s="21" t="s">
        <v>243</v>
      </c>
      <c r="C33" s="22"/>
      <c r="D33" s="22"/>
      <c r="E33" s="21"/>
      <c r="F33" s="23">
        <f>SUM(F4:F32)</f>
        <v>8.5740740740740742E-2</v>
      </c>
    </row>
  </sheetData>
  <mergeCells count="2">
    <mergeCell ref="A1:F1"/>
    <mergeCell ref="A2:F2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2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  <hyperlink ref="C15" r:id="rId21" xr:uid="{00000000-0004-0000-0E00-000014000000}"/>
    <hyperlink ref="D15" r:id="rId22" xr:uid="{00000000-0004-0000-0E00-000015000000}"/>
    <hyperlink ref="C16" r:id="rId23" xr:uid="{00000000-0004-0000-0E00-000016000000}"/>
    <hyperlink ref="D16" r:id="rId24" xr:uid="{00000000-0004-0000-0E00-000017000000}"/>
    <hyperlink ref="C17" r:id="rId25" xr:uid="{00000000-0004-0000-0E00-000018000000}"/>
    <hyperlink ref="D17" r:id="rId26" xr:uid="{00000000-0004-0000-0E00-000019000000}"/>
    <hyperlink ref="C18" r:id="rId27" xr:uid="{00000000-0004-0000-0E00-00001A000000}"/>
    <hyperlink ref="D18" r:id="rId28" xr:uid="{00000000-0004-0000-0E00-00001B000000}"/>
    <hyperlink ref="C19" r:id="rId29" xr:uid="{00000000-0004-0000-0E00-00001C000000}"/>
    <hyperlink ref="D19" r:id="rId30" xr:uid="{00000000-0004-0000-0E00-00001D000000}"/>
    <hyperlink ref="D20" r:id="rId31" xr:uid="{00000000-0004-0000-0E00-00001E000000}"/>
    <hyperlink ref="C21" r:id="rId32" xr:uid="{00000000-0004-0000-0E00-00001F000000}"/>
    <hyperlink ref="D21" r:id="rId33" xr:uid="{00000000-0004-0000-0E00-000020000000}"/>
    <hyperlink ref="C22" r:id="rId34" xr:uid="{00000000-0004-0000-0E00-000021000000}"/>
    <hyperlink ref="D22" r:id="rId35" xr:uid="{00000000-0004-0000-0E00-000022000000}"/>
    <hyperlink ref="C23" r:id="rId36" xr:uid="{00000000-0004-0000-0E00-000023000000}"/>
    <hyperlink ref="D23" r:id="rId37" xr:uid="{00000000-0004-0000-0E00-000024000000}"/>
    <hyperlink ref="C24" r:id="rId38" xr:uid="{00000000-0004-0000-0E00-000025000000}"/>
    <hyperlink ref="D24" r:id="rId39" xr:uid="{00000000-0004-0000-0E00-000026000000}"/>
    <hyperlink ref="C25" r:id="rId40" xr:uid="{00000000-0004-0000-0E00-000027000000}"/>
    <hyperlink ref="C26" r:id="rId41" xr:uid="{00000000-0004-0000-0E00-000028000000}"/>
    <hyperlink ref="D26" r:id="rId42" xr:uid="{00000000-0004-0000-0E00-000029000000}"/>
    <hyperlink ref="C27" r:id="rId43" xr:uid="{00000000-0004-0000-0E00-00002A000000}"/>
    <hyperlink ref="D27" r:id="rId44" xr:uid="{00000000-0004-0000-0E00-00002B000000}"/>
    <hyperlink ref="C28" r:id="rId45" xr:uid="{00000000-0004-0000-0E00-00002C000000}"/>
    <hyperlink ref="D28" r:id="rId46" xr:uid="{00000000-0004-0000-0E00-00002D000000}"/>
    <hyperlink ref="C29" r:id="rId47" xr:uid="{00000000-0004-0000-0E00-00002E000000}"/>
    <hyperlink ref="D29" r:id="rId48" xr:uid="{00000000-0004-0000-0E00-00002F000000}"/>
    <hyperlink ref="C30" r:id="rId49" xr:uid="{00000000-0004-0000-0E00-000030000000}"/>
    <hyperlink ref="D30" r:id="rId50" xr:uid="{00000000-0004-0000-0E00-000031000000}"/>
    <hyperlink ref="C31" r:id="rId51" xr:uid="{00000000-0004-0000-0E00-000032000000}"/>
    <hyperlink ref="D31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266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78</v>
      </c>
      <c r="C5" s="24" t="s">
        <v>2</v>
      </c>
      <c r="D5" s="24" t="s">
        <v>3</v>
      </c>
      <c r="E5" s="17" t="s">
        <v>39</v>
      </c>
      <c r="F5" s="48">
        <v>2.5810185185185185E-3</v>
      </c>
    </row>
    <row r="6" spans="1:6" ht="22" customHeight="1">
      <c r="A6" s="26">
        <v>3</v>
      </c>
      <c r="B6" s="17" t="s">
        <v>99</v>
      </c>
      <c r="C6" s="24" t="s">
        <v>2</v>
      </c>
      <c r="D6" s="24" t="s">
        <v>3</v>
      </c>
      <c r="E6" s="17" t="s">
        <v>39</v>
      </c>
      <c r="F6" s="48">
        <v>2.9513888888888888E-3</v>
      </c>
    </row>
    <row r="7" spans="1:6" ht="22" customHeight="1">
      <c r="A7" s="26">
        <v>4</v>
      </c>
      <c r="B7" s="17" t="s">
        <v>52</v>
      </c>
      <c r="C7" s="24" t="s">
        <v>2</v>
      </c>
      <c r="D7" s="24" t="s">
        <v>3</v>
      </c>
      <c r="E7" s="17" t="s">
        <v>31</v>
      </c>
      <c r="F7" s="48">
        <f>VLOOKUP(B7,'Song Tracker'!$A$3:$F$48,6,FALSE)</f>
        <v>5.5555555555555558E-3</v>
      </c>
    </row>
    <row r="8" spans="1:6" ht="22" customHeight="1">
      <c r="A8" s="26">
        <v>5</v>
      </c>
      <c r="B8" s="17" t="s">
        <v>106</v>
      </c>
      <c r="C8" s="24" t="s">
        <v>2</v>
      </c>
      <c r="D8" s="24" t="s">
        <v>3</v>
      </c>
      <c r="E8" s="17" t="s">
        <v>36</v>
      </c>
      <c r="F8" s="48">
        <v>3.3680555555555556E-3</v>
      </c>
    </row>
    <row r="9" spans="1:6" ht="22" customHeight="1">
      <c r="A9" s="26">
        <v>6</v>
      </c>
      <c r="B9" s="17" t="s">
        <v>114</v>
      </c>
      <c r="C9" s="24" t="s">
        <v>2</v>
      </c>
      <c r="D9" s="24" t="s">
        <v>3</v>
      </c>
      <c r="E9" s="17" t="s">
        <v>36</v>
      </c>
      <c r="F9" s="48">
        <v>3.4606481481481485E-3</v>
      </c>
    </row>
    <row r="10" spans="1:6" ht="22" customHeight="1">
      <c r="A10" s="26">
        <v>7</v>
      </c>
      <c r="B10" s="17" t="s">
        <v>57</v>
      </c>
      <c r="C10" s="24" t="s">
        <v>2</v>
      </c>
      <c r="D10" s="24" t="s">
        <v>3</v>
      </c>
      <c r="E10" s="17" t="s">
        <v>39</v>
      </c>
      <c r="F10" s="48">
        <f>VLOOKUP(B10,'Song Tracker'!$A$3:$F$48,6,FALSE)</f>
        <v>2.3032407407407407E-3</v>
      </c>
    </row>
    <row r="11" spans="1:6" ht="22" customHeight="1">
      <c r="A11" s="26">
        <v>8</v>
      </c>
      <c r="B11" s="17" t="s">
        <v>92</v>
      </c>
      <c r="C11" s="24" t="s">
        <v>2</v>
      </c>
      <c r="D11" s="24" t="s">
        <v>3</v>
      </c>
      <c r="E11" s="17" t="s">
        <v>36</v>
      </c>
      <c r="F11" s="48">
        <v>2.0486111111111113E-3</v>
      </c>
    </row>
    <row r="12" spans="1:6" ht="22" customHeight="1">
      <c r="A12" s="26">
        <v>9</v>
      </c>
      <c r="B12" s="17" t="s">
        <v>70</v>
      </c>
      <c r="C12" s="24" t="s">
        <v>2</v>
      </c>
      <c r="D12" s="24" t="s">
        <v>3</v>
      </c>
      <c r="E12" s="17" t="s">
        <v>31</v>
      </c>
      <c r="F12" s="48">
        <v>2.4305555555555556E-3</v>
      </c>
    </row>
    <row r="13" spans="1:6" ht="22" customHeight="1">
      <c r="A13" s="26">
        <v>10</v>
      </c>
      <c r="B13" s="17" t="s">
        <v>116</v>
      </c>
      <c r="C13" s="24" t="s">
        <v>2</v>
      </c>
      <c r="D13" s="24" t="s">
        <v>3</v>
      </c>
      <c r="E13" s="17" t="s">
        <v>36</v>
      </c>
      <c r="F13" s="48">
        <v>2.2569444444444442E-3</v>
      </c>
    </row>
    <row r="14" spans="1:6" ht="22" customHeight="1">
      <c r="A14" s="26">
        <v>11</v>
      </c>
      <c r="B14" s="17" t="s">
        <v>63</v>
      </c>
      <c r="C14" s="24" t="s">
        <v>2</v>
      </c>
      <c r="D14" s="24" t="s">
        <v>3</v>
      </c>
      <c r="E14" s="17" t="s">
        <v>31</v>
      </c>
      <c r="F14" s="48">
        <v>2.7893518518518519E-3</v>
      </c>
    </row>
    <row r="15" spans="1:6" ht="22" customHeight="1">
      <c r="A15" s="26">
        <v>12</v>
      </c>
      <c r="B15" s="17" t="s">
        <v>94</v>
      </c>
      <c r="C15" s="24" t="s">
        <v>2</v>
      </c>
      <c r="D15" s="24" t="s">
        <v>3</v>
      </c>
      <c r="E15" s="17" t="s">
        <v>39</v>
      </c>
      <c r="F15" s="48">
        <v>3.5995370370370369E-3</v>
      </c>
    </row>
    <row r="16" spans="1:6" ht="22" customHeight="1">
      <c r="A16" s="26">
        <v>13</v>
      </c>
      <c r="B16" s="17" t="s">
        <v>80</v>
      </c>
      <c r="C16" s="25"/>
      <c r="D16" s="24" t="s">
        <v>3</v>
      </c>
      <c r="E16" s="17" t="s">
        <v>39</v>
      </c>
      <c r="F16" s="48">
        <f>VLOOKUP(B16,'Song Tracker'!$A$3:$F$48,6,FALSE)</f>
        <v>2.6041666666666665E-3</v>
      </c>
    </row>
    <row r="17" spans="1:6" ht="22" customHeight="1">
      <c r="A17" s="26">
        <v>14</v>
      </c>
      <c r="B17" s="17" t="s">
        <v>85</v>
      </c>
      <c r="C17" s="24" t="s">
        <v>2</v>
      </c>
      <c r="D17" s="24" t="s">
        <v>3</v>
      </c>
      <c r="E17" s="17" t="s">
        <v>48</v>
      </c>
      <c r="F17" s="48">
        <v>1.9791666666666668E-3</v>
      </c>
    </row>
    <row r="18" spans="1:6" ht="22" customHeight="1">
      <c r="A18" s="26">
        <v>15</v>
      </c>
      <c r="B18" s="17" t="s">
        <v>46</v>
      </c>
      <c r="C18" s="24" t="s">
        <v>2</v>
      </c>
      <c r="D18" s="24" t="s">
        <v>3</v>
      </c>
      <c r="E18" s="17" t="s">
        <v>48</v>
      </c>
      <c r="F18" s="48">
        <v>1.7476851851851852E-3</v>
      </c>
    </row>
    <row r="19" spans="1:6" ht="22" customHeight="1">
      <c r="A19" s="26">
        <v>16</v>
      </c>
      <c r="B19" s="17" t="s">
        <v>101</v>
      </c>
      <c r="C19" s="24" t="s">
        <v>2</v>
      </c>
      <c r="D19" s="24" t="s">
        <v>3</v>
      </c>
      <c r="E19" s="17" t="s">
        <v>31</v>
      </c>
      <c r="F19" s="48">
        <v>4.1319444444444442E-3</v>
      </c>
    </row>
    <row r="20" spans="1:6" ht="22" customHeight="1">
      <c r="A20" s="26">
        <v>17</v>
      </c>
      <c r="B20" s="17" t="s">
        <v>82</v>
      </c>
      <c r="C20" s="24" t="s">
        <v>2</v>
      </c>
      <c r="D20" s="25"/>
      <c r="E20" s="17" t="s">
        <v>36</v>
      </c>
      <c r="F20" s="48">
        <v>3.8541666666666663E-3</v>
      </c>
    </row>
    <row r="21" spans="1:6" ht="22" customHeight="1">
      <c r="A21" s="26">
        <v>18</v>
      </c>
      <c r="B21" s="17" t="s">
        <v>74</v>
      </c>
      <c r="C21" s="24" t="s">
        <v>2</v>
      </c>
      <c r="D21" s="24" t="s">
        <v>3</v>
      </c>
      <c r="E21" s="17" t="s">
        <v>39</v>
      </c>
      <c r="F21" s="48">
        <v>4.6874999999999998E-3</v>
      </c>
    </row>
    <row r="22" spans="1:6" ht="22" customHeight="1">
      <c r="A22" s="26">
        <v>19</v>
      </c>
      <c r="B22" s="17" t="s">
        <v>123</v>
      </c>
      <c r="C22" s="24" t="s">
        <v>2</v>
      </c>
      <c r="D22" s="24" t="s">
        <v>3</v>
      </c>
      <c r="E22" s="17" t="s">
        <v>36</v>
      </c>
      <c r="F22" s="48">
        <v>3.3217592592592595E-3</v>
      </c>
    </row>
    <row r="23" spans="1:6" ht="22" customHeight="1">
      <c r="A23" s="26" t="s">
        <v>248</v>
      </c>
      <c r="B23" s="17" t="s">
        <v>103</v>
      </c>
      <c r="C23" s="24" t="s">
        <v>2</v>
      </c>
      <c r="D23" s="24" t="s">
        <v>3</v>
      </c>
      <c r="E23" s="17" t="s">
        <v>31</v>
      </c>
      <c r="F23" s="48">
        <v>5.9606481481481481E-3</v>
      </c>
    </row>
    <row r="24" spans="1:6">
      <c r="A24" s="18"/>
      <c r="B24" s="16"/>
      <c r="C24" s="19"/>
      <c r="D24" s="19"/>
      <c r="E24" s="16"/>
      <c r="F24" s="49"/>
    </row>
    <row r="25" spans="1:6" ht="22" customHeight="1" thickBot="1">
      <c r="A25" s="20"/>
      <c r="B25" s="21" t="s">
        <v>243</v>
      </c>
      <c r="C25" s="22"/>
      <c r="D25" s="22"/>
      <c r="E25" s="21"/>
      <c r="F25" s="23">
        <f>SUM(F4:F24)</f>
        <v>6.3819444444444443E-2</v>
      </c>
    </row>
  </sheetData>
  <mergeCells count="2">
    <mergeCell ref="A1:F1"/>
    <mergeCell ref="A2:F2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C18" r:id="rId28" xr:uid="{00000000-0004-0000-0F00-00001B000000}"/>
    <hyperlink ref="D18" r:id="rId29" xr:uid="{00000000-0004-0000-0F00-00001C000000}"/>
    <hyperlink ref="C19" r:id="rId30" xr:uid="{00000000-0004-0000-0F00-00001D000000}"/>
    <hyperlink ref="D19" r:id="rId31" xr:uid="{00000000-0004-0000-0F00-00001E000000}"/>
    <hyperlink ref="C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267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120</v>
      </c>
      <c r="C4" s="24" t="s">
        <v>2</v>
      </c>
      <c r="D4" s="24" t="s">
        <v>3</v>
      </c>
      <c r="E4" s="17" t="s">
        <v>31</v>
      </c>
      <c r="F4" s="48">
        <f>VLOOKUP(B4,'Song Tracker'!$A$3:$F$48,6,FALSE)</f>
        <v>2.0833333333333333E-3</v>
      </c>
    </row>
    <row r="5" spans="1:6" ht="22" customHeight="1">
      <c r="A5" s="26">
        <v>2</v>
      </c>
      <c r="B5" s="17" t="s">
        <v>99</v>
      </c>
      <c r="C5" s="24" t="s">
        <v>2</v>
      </c>
      <c r="D5" s="24" t="s">
        <v>3</v>
      </c>
      <c r="E5" s="17" t="s">
        <v>39</v>
      </c>
      <c r="F5" s="48">
        <v>2.9513888888888888E-3</v>
      </c>
    </row>
    <row r="6" spans="1:6" ht="22" customHeight="1">
      <c r="A6" s="26">
        <v>3</v>
      </c>
      <c r="B6" s="17" t="s">
        <v>78</v>
      </c>
      <c r="C6" s="24" t="s">
        <v>2</v>
      </c>
      <c r="D6" s="24" t="s">
        <v>3</v>
      </c>
      <c r="E6" s="17" t="s">
        <v>39</v>
      </c>
      <c r="F6" s="48">
        <v>2.5810185185185185E-3</v>
      </c>
    </row>
    <row r="7" spans="1:6" ht="22" customHeight="1">
      <c r="A7" s="26">
        <v>4</v>
      </c>
      <c r="B7" s="17" t="s">
        <v>94</v>
      </c>
      <c r="C7" s="24" t="s">
        <v>2</v>
      </c>
      <c r="D7" s="24" t="s">
        <v>3</v>
      </c>
      <c r="E7" s="17" t="s">
        <v>39</v>
      </c>
      <c r="F7" s="48">
        <v>3.5995370370370369E-3</v>
      </c>
    </row>
    <row r="8" spans="1:6" ht="22" customHeight="1">
      <c r="A8" s="26">
        <v>5</v>
      </c>
      <c r="B8" s="17" t="s">
        <v>46</v>
      </c>
      <c r="C8" s="24" t="s">
        <v>2</v>
      </c>
      <c r="D8" s="24" t="s">
        <v>3</v>
      </c>
      <c r="E8" s="17" t="s">
        <v>48</v>
      </c>
      <c r="F8" s="48">
        <v>1.7476851851851852E-3</v>
      </c>
    </row>
    <row r="9" spans="1:6" ht="22" customHeight="1">
      <c r="A9" s="26">
        <v>6</v>
      </c>
      <c r="B9" s="17" t="s">
        <v>106</v>
      </c>
      <c r="C9" s="24" t="s">
        <v>2</v>
      </c>
      <c r="D9" s="24" t="s">
        <v>3</v>
      </c>
      <c r="E9" s="17" t="s">
        <v>36</v>
      </c>
      <c r="F9" s="48">
        <v>3.3680555555555556E-3</v>
      </c>
    </row>
    <row r="10" spans="1:6" ht="22" customHeight="1">
      <c r="A10" s="26">
        <v>7</v>
      </c>
      <c r="B10" s="17" t="s">
        <v>63</v>
      </c>
      <c r="C10" s="24" t="s">
        <v>2</v>
      </c>
      <c r="D10" s="24" t="s">
        <v>3</v>
      </c>
      <c r="E10" s="17" t="s">
        <v>31</v>
      </c>
      <c r="F10" s="48">
        <v>2.7893518518518519E-3</v>
      </c>
    </row>
    <row r="11" spans="1:6" ht="22" customHeight="1">
      <c r="A11" s="26">
        <v>8</v>
      </c>
      <c r="B11" s="17" t="s">
        <v>80</v>
      </c>
      <c r="C11" s="25"/>
      <c r="D11" s="24" t="s">
        <v>3</v>
      </c>
      <c r="E11" s="17" t="s">
        <v>39</v>
      </c>
      <c r="F11" s="48">
        <f>VLOOKUP(B11,'Song Tracker'!$A$3:$F$48,6,FALSE)</f>
        <v>2.6041666666666665E-3</v>
      </c>
    </row>
    <row r="12" spans="1:6" ht="22" customHeight="1">
      <c r="A12" s="26">
        <v>9</v>
      </c>
      <c r="B12" s="17" t="s">
        <v>49</v>
      </c>
      <c r="C12" s="24" t="s">
        <v>2</v>
      </c>
      <c r="D12" s="24" t="s">
        <v>3</v>
      </c>
      <c r="E12" s="17" t="s">
        <v>31</v>
      </c>
      <c r="F12" s="48">
        <v>2.1874999999999998E-3</v>
      </c>
    </row>
    <row r="13" spans="1:6" ht="22" customHeight="1">
      <c r="A13" s="26">
        <v>10</v>
      </c>
      <c r="B13" s="17" t="s">
        <v>92</v>
      </c>
      <c r="C13" s="24" t="s">
        <v>2</v>
      </c>
      <c r="D13" s="24" t="s">
        <v>3</v>
      </c>
      <c r="E13" s="17" t="s">
        <v>36</v>
      </c>
      <c r="F13" s="48">
        <v>2.0486111111111113E-3</v>
      </c>
    </row>
    <row r="14" spans="1:6" ht="22" customHeight="1">
      <c r="A14" s="26">
        <v>11</v>
      </c>
      <c r="B14" s="17" t="s">
        <v>116</v>
      </c>
      <c r="C14" s="24" t="s">
        <v>2</v>
      </c>
      <c r="D14" s="24" t="s">
        <v>3</v>
      </c>
      <c r="E14" s="17" t="s">
        <v>36</v>
      </c>
      <c r="F14" s="48">
        <v>2.2569444444444442E-3</v>
      </c>
    </row>
    <row r="15" spans="1:6" ht="22" customHeight="1">
      <c r="A15" s="26">
        <v>12</v>
      </c>
      <c r="B15" s="17" t="s">
        <v>245</v>
      </c>
      <c r="C15" s="24" t="s">
        <v>2</v>
      </c>
      <c r="D15" s="24" t="s">
        <v>3</v>
      </c>
      <c r="E15" s="17" t="s">
        <v>39</v>
      </c>
      <c r="F15" s="48">
        <v>2.5810185185185185E-3</v>
      </c>
    </row>
    <row r="16" spans="1:6" ht="22" customHeight="1">
      <c r="A16" s="26">
        <v>13</v>
      </c>
      <c r="B16" s="17" t="s">
        <v>123</v>
      </c>
      <c r="C16" s="24" t="s">
        <v>2</v>
      </c>
      <c r="D16" s="24" t="s">
        <v>3</v>
      </c>
      <c r="E16" s="17" t="s">
        <v>36</v>
      </c>
      <c r="F16" s="48">
        <v>3.3217592592592595E-3</v>
      </c>
    </row>
    <row r="17" spans="1:6" ht="22" customHeight="1">
      <c r="A17" s="26" t="s">
        <v>249</v>
      </c>
      <c r="B17" s="17" t="s">
        <v>103</v>
      </c>
      <c r="C17" s="24" t="s">
        <v>2</v>
      </c>
      <c r="D17" s="24" t="s">
        <v>3</v>
      </c>
      <c r="E17" s="17" t="s">
        <v>31</v>
      </c>
      <c r="F17" s="48">
        <v>5.9606481481481481E-3</v>
      </c>
    </row>
    <row r="18" spans="1:6">
      <c r="A18" s="18"/>
      <c r="B18" s="16"/>
      <c r="C18" s="19"/>
      <c r="D18" s="19"/>
      <c r="E18" s="16"/>
      <c r="F18" s="49"/>
    </row>
    <row r="19" spans="1:6" ht="22" customHeight="1" thickBot="1">
      <c r="A19" s="20"/>
      <c r="B19" s="21" t="s">
        <v>243</v>
      </c>
      <c r="C19" s="22"/>
      <c r="D19" s="22"/>
      <c r="E19" s="21"/>
      <c r="F19" s="23">
        <f>SUM(F4:F18)</f>
        <v>4.0081018518518516E-2</v>
      </c>
    </row>
  </sheetData>
  <mergeCells count="2">
    <mergeCell ref="A1:F1"/>
    <mergeCell ref="A2:F2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C16" r:id="rId24" xr:uid="{00000000-0004-0000-1000-000017000000}"/>
    <hyperlink ref="D16" r:id="rId25" xr:uid="{00000000-0004-0000-1000-000018000000}"/>
    <hyperlink ref="C17" r:id="rId26" xr:uid="{00000000-0004-0000-1000-000019000000}"/>
    <hyperlink ref="D17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268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78</v>
      </c>
      <c r="C5" s="24" t="s">
        <v>2</v>
      </c>
      <c r="D5" s="24" t="s">
        <v>3</v>
      </c>
      <c r="E5" s="17" t="s">
        <v>39</v>
      </c>
      <c r="F5" s="48">
        <v>2.5810185185185185E-3</v>
      </c>
    </row>
    <row r="6" spans="1:6" ht="22" customHeight="1">
      <c r="A6" s="26">
        <v>3</v>
      </c>
      <c r="B6" s="17" t="s">
        <v>85</v>
      </c>
      <c r="C6" s="24" t="s">
        <v>2</v>
      </c>
      <c r="D6" s="24" t="s">
        <v>3</v>
      </c>
      <c r="E6" s="17" t="s">
        <v>48</v>
      </c>
      <c r="F6" s="48">
        <v>1.9791666666666668E-3</v>
      </c>
    </row>
    <row r="7" spans="1:6" ht="22" customHeight="1">
      <c r="A7" s="26">
        <v>4</v>
      </c>
      <c r="B7" s="17" t="s">
        <v>94</v>
      </c>
      <c r="C7" s="24" t="s">
        <v>2</v>
      </c>
      <c r="D7" s="24" t="s">
        <v>3</v>
      </c>
      <c r="E7" s="17" t="s">
        <v>39</v>
      </c>
      <c r="F7" s="48">
        <v>3.5995370370370369E-3</v>
      </c>
    </row>
    <row r="8" spans="1:6" ht="22" customHeight="1">
      <c r="A8" s="26">
        <v>5</v>
      </c>
      <c r="B8" s="17" t="s">
        <v>52</v>
      </c>
      <c r="C8" s="24" t="s">
        <v>2</v>
      </c>
      <c r="D8" s="24" t="s">
        <v>3</v>
      </c>
      <c r="E8" s="17" t="s">
        <v>31</v>
      </c>
      <c r="F8" s="48">
        <f>VLOOKUP(B8,'Song Tracker'!$A$3:$F$48,6,FALSE)</f>
        <v>5.5555555555555558E-3</v>
      </c>
    </row>
    <row r="9" spans="1:6" ht="22" customHeight="1">
      <c r="A9" s="26">
        <v>6</v>
      </c>
      <c r="B9" s="17" t="s">
        <v>99</v>
      </c>
      <c r="C9" s="24" t="s">
        <v>2</v>
      </c>
      <c r="D9" s="24" t="s">
        <v>3</v>
      </c>
      <c r="E9" s="17" t="s">
        <v>39</v>
      </c>
      <c r="F9" s="48">
        <v>2.9513888888888888E-3</v>
      </c>
    </row>
    <row r="10" spans="1:6" ht="22" customHeight="1">
      <c r="A10" s="26">
        <v>7</v>
      </c>
      <c r="B10" s="17" t="s">
        <v>82</v>
      </c>
      <c r="C10" s="24" t="s">
        <v>2</v>
      </c>
      <c r="D10" s="25"/>
      <c r="E10" s="17" t="s">
        <v>36</v>
      </c>
      <c r="F10" s="48">
        <v>3.8541666666666663E-3</v>
      </c>
    </row>
    <row r="11" spans="1:6" ht="22" customHeight="1">
      <c r="A11" s="26">
        <v>8</v>
      </c>
      <c r="B11" s="17" t="s">
        <v>92</v>
      </c>
      <c r="C11" s="24" t="s">
        <v>2</v>
      </c>
      <c r="D11" s="24" t="s">
        <v>3</v>
      </c>
      <c r="E11" s="17" t="s">
        <v>36</v>
      </c>
      <c r="F11" s="48">
        <v>2.0486111111111113E-3</v>
      </c>
    </row>
    <row r="12" spans="1:6" ht="22" customHeight="1">
      <c r="A12" s="26">
        <v>9</v>
      </c>
      <c r="B12" s="17" t="s">
        <v>80</v>
      </c>
      <c r="C12" s="25"/>
      <c r="D12" s="24" t="s">
        <v>3</v>
      </c>
      <c r="E12" s="17" t="s">
        <v>39</v>
      </c>
      <c r="F12" s="48">
        <f>VLOOKUP(B12,'Song Tracker'!$A$3:$F$48,6,FALSE)</f>
        <v>2.6041666666666665E-3</v>
      </c>
    </row>
    <row r="13" spans="1:6" ht="22" customHeight="1">
      <c r="A13" s="26">
        <v>10</v>
      </c>
      <c r="B13" s="17" t="s">
        <v>46</v>
      </c>
      <c r="C13" s="24" t="s">
        <v>2</v>
      </c>
      <c r="D13" s="24" t="s">
        <v>3</v>
      </c>
      <c r="E13" s="17" t="s">
        <v>48</v>
      </c>
      <c r="F13" s="48">
        <v>1.7476851851851852E-3</v>
      </c>
    </row>
    <row r="14" spans="1:6" ht="22" customHeight="1">
      <c r="A14" s="26">
        <v>11</v>
      </c>
      <c r="B14" s="17" t="s">
        <v>123</v>
      </c>
      <c r="C14" s="24" t="s">
        <v>2</v>
      </c>
      <c r="D14" s="24" t="s">
        <v>3</v>
      </c>
      <c r="E14" s="17" t="s">
        <v>36</v>
      </c>
      <c r="F14" s="48">
        <v>3.3217592592592595E-3</v>
      </c>
    </row>
    <row r="15" spans="1:6">
      <c r="A15" s="18"/>
      <c r="B15" s="16"/>
      <c r="C15" s="19"/>
      <c r="D15" s="19"/>
      <c r="E15" s="16"/>
      <c r="F15" s="49"/>
    </row>
    <row r="16" spans="1:6" ht="22" customHeight="1" thickBot="1">
      <c r="A16" s="20"/>
      <c r="B16" s="21" t="s">
        <v>243</v>
      </c>
      <c r="C16" s="22"/>
      <c r="D16" s="22"/>
      <c r="E16" s="21"/>
      <c r="F16" s="23">
        <f>SUM(F4:F15)</f>
        <v>3.2430555555555553E-2</v>
      </c>
    </row>
  </sheetData>
  <mergeCells count="2">
    <mergeCell ref="A1:F1"/>
    <mergeCell ref="A2:F2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C11" r:id="rId14" xr:uid="{00000000-0004-0000-1100-00000D000000}"/>
    <hyperlink ref="D11" r:id="rId15" xr:uid="{00000000-0004-0000-1100-00000E000000}"/>
    <hyperlink ref="D12" r:id="rId16" xr:uid="{00000000-0004-0000-1100-00000F000000}"/>
    <hyperlink ref="C13" r:id="rId17" xr:uid="{00000000-0004-0000-1100-000010000000}"/>
    <hyperlink ref="D13" r:id="rId18" xr:uid="{00000000-0004-0000-1100-000011000000}"/>
    <hyperlink ref="C14" r:id="rId19" xr:uid="{00000000-0004-0000-1100-000012000000}"/>
    <hyperlink ref="D14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269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127</v>
      </c>
      <c r="C5" s="24" t="s">
        <v>2</v>
      </c>
      <c r="D5" s="24" t="s">
        <v>3</v>
      </c>
      <c r="E5" s="17" t="s">
        <v>31</v>
      </c>
      <c r="F5" s="48">
        <v>2.0949074074074073E-3</v>
      </c>
    </row>
    <row r="6" spans="1:6" ht="22" customHeight="1">
      <c r="A6" s="26">
        <v>3</v>
      </c>
      <c r="B6" s="17" t="s">
        <v>94</v>
      </c>
      <c r="C6" s="24" t="s">
        <v>2</v>
      </c>
      <c r="D6" s="24" t="s">
        <v>3</v>
      </c>
      <c r="E6" s="17" t="s">
        <v>39</v>
      </c>
      <c r="F6" s="48">
        <v>3.5995370370370369E-3</v>
      </c>
    </row>
    <row r="7" spans="1:6" ht="22" customHeight="1">
      <c r="A7" s="26">
        <v>4</v>
      </c>
      <c r="B7" s="17" t="s">
        <v>65</v>
      </c>
      <c r="C7" s="24" t="s">
        <v>2</v>
      </c>
      <c r="D7" s="24" t="s">
        <v>3</v>
      </c>
      <c r="E7" s="17" t="s">
        <v>36</v>
      </c>
      <c r="F7" s="48">
        <v>2.488425925925926E-3</v>
      </c>
    </row>
    <row r="8" spans="1:6" ht="22" customHeight="1">
      <c r="A8" s="26">
        <v>5</v>
      </c>
      <c r="B8" s="17" t="s">
        <v>85</v>
      </c>
      <c r="C8" s="24" t="s">
        <v>2</v>
      </c>
      <c r="D8" s="24" t="s">
        <v>3</v>
      </c>
      <c r="E8" s="17" t="s">
        <v>48</v>
      </c>
      <c r="F8" s="48">
        <v>1.9791666666666668E-3</v>
      </c>
    </row>
    <row r="9" spans="1:6" ht="22" customHeight="1">
      <c r="A9" s="26">
        <v>6</v>
      </c>
      <c r="B9" s="17" t="s">
        <v>63</v>
      </c>
      <c r="C9" s="24" t="s">
        <v>2</v>
      </c>
      <c r="D9" s="24" t="s">
        <v>3</v>
      </c>
      <c r="E9" s="17" t="s">
        <v>31</v>
      </c>
      <c r="F9" s="48">
        <v>2.7893518518518519E-3</v>
      </c>
    </row>
    <row r="10" spans="1:6" ht="22" customHeight="1">
      <c r="A10" s="26">
        <v>7</v>
      </c>
      <c r="B10" s="17" t="s">
        <v>245</v>
      </c>
      <c r="C10" s="24" t="s">
        <v>2</v>
      </c>
      <c r="D10" s="24" t="s">
        <v>3</v>
      </c>
      <c r="E10" s="17" t="s">
        <v>39</v>
      </c>
      <c r="F10" s="48">
        <v>2.5810185185185185E-3</v>
      </c>
    </row>
    <row r="11" spans="1:6" ht="22" customHeight="1">
      <c r="A11" s="26">
        <v>8</v>
      </c>
      <c r="B11" s="17" t="s">
        <v>34</v>
      </c>
      <c r="C11" s="24" t="s">
        <v>2</v>
      </c>
      <c r="D11" s="24" t="s">
        <v>3</v>
      </c>
      <c r="E11" s="17" t="s">
        <v>36</v>
      </c>
      <c r="F11" s="48">
        <f>VLOOKUP(B11,'Song Tracker'!$A$3:$F$48,6,FALSE)</f>
        <v>3.9583333333333337E-3</v>
      </c>
    </row>
    <row r="12" spans="1:6" ht="22" customHeight="1">
      <c r="A12" s="26">
        <v>9</v>
      </c>
      <c r="B12" s="17" t="s">
        <v>96</v>
      </c>
      <c r="C12" s="24" t="s">
        <v>2</v>
      </c>
      <c r="D12" s="24" t="s">
        <v>3</v>
      </c>
      <c r="E12" s="17" t="s">
        <v>48</v>
      </c>
      <c r="F12" s="48">
        <f>VLOOKUP(B12,'Song Tracker'!$A$3:$F$48,6,FALSE)</f>
        <v>1.9675925925925924E-3</v>
      </c>
    </row>
    <row r="13" spans="1:6" ht="22" customHeight="1">
      <c r="A13" s="26">
        <v>10</v>
      </c>
      <c r="B13" s="17" t="s">
        <v>52</v>
      </c>
      <c r="C13" s="24" t="s">
        <v>2</v>
      </c>
      <c r="D13" s="24" t="s">
        <v>3</v>
      </c>
      <c r="E13" s="17" t="s">
        <v>31</v>
      </c>
      <c r="F13" s="48">
        <f>VLOOKUP(B13,'Song Tracker'!$A$3:$F$48,6,FALSE)</f>
        <v>5.5555555555555558E-3</v>
      </c>
    </row>
    <row r="14" spans="1:6" ht="22" customHeight="1">
      <c r="A14" s="26">
        <v>11</v>
      </c>
      <c r="B14" s="17" t="s">
        <v>82</v>
      </c>
      <c r="C14" s="24" t="s">
        <v>2</v>
      </c>
      <c r="D14" s="25"/>
      <c r="E14" s="17" t="s">
        <v>36</v>
      </c>
      <c r="F14" s="48">
        <v>3.8541666666666663E-3</v>
      </c>
    </row>
    <row r="15" spans="1:6" ht="22" customHeight="1">
      <c r="A15" s="26">
        <v>12</v>
      </c>
      <c r="B15" s="17" t="s">
        <v>97</v>
      </c>
      <c r="C15" s="24" t="s">
        <v>2</v>
      </c>
      <c r="D15" s="24" t="s">
        <v>3</v>
      </c>
      <c r="E15" s="17" t="s">
        <v>31</v>
      </c>
      <c r="F15" s="48">
        <v>3.2291666666666666E-3</v>
      </c>
    </row>
    <row r="16" spans="1:6" ht="22" customHeight="1">
      <c r="A16" s="26">
        <v>13</v>
      </c>
      <c r="B16" s="17" t="s">
        <v>123</v>
      </c>
      <c r="C16" s="24" t="s">
        <v>2</v>
      </c>
      <c r="D16" s="24" t="s">
        <v>3</v>
      </c>
      <c r="E16" s="17" t="s">
        <v>36</v>
      </c>
      <c r="F16" s="48">
        <v>3.3217592592592595E-3</v>
      </c>
    </row>
    <row r="17" spans="1:6" ht="22" customHeight="1">
      <c r="A17" s="26">
        <v>14</v>
      </c>
      <c r="B17" s="17" t="s">
        <v>110</v>
      </c>
      <c r="C17" s="24" t="s">
        <v>2</v>
      </c>
      <c r="D17" s="24" t="s">
        <v>3</v>
      </c>
      <c r="E17" s="17" t="s">
        <v>112</v>
      </c>
      <c r="F17" s="48">
        <f>VLOOKUP(B17,'Song Tracker'!$A$3:$F$48,6,FALSE)</f>
        <v>3.472222222222222E-3</v>
      </c>
    </row>
    <row r="18" spans="1:6" ht="22" customHeight="1">
      <c r="A18" s="26">
        <v>15</v>
      </c>
      <c r="B18" s="17" t="s">
        <v>80</v>
      </c>
      <c r="C18" s="25"/>
      <c r="D18" s="24" t="s">
        <v>3</v>
      </c>
      <c r="E18" s="17" t="s">
        <v>39</v>
      </c>
      <c r="F18" s="48">
        <f>VLOOKUP(B18,'Song Tracker'!$A$3:$F$48,6,FALSE)</f>
        <v>2.6041666666666665E-3</v>
      </c>
    </row>
    <row r="19" spans="1:6" ht="22" customHeight="1">
      <c r="A19" s="26">
        <v>16</v>
      </c>
      <c r="B19" s="17" t="s">
        <v>76</v>
      </c>
      <c r="C19" s="24" t="s">
        <v>2</v>
      </c>
      <c r="D19" s="24" t="s">
        <v>3</v>
      </c>
      <c r="E19" s="17" t="s">
        <v>31</v>
      </c>
      <c r="F19" s="48">
        <f>VLOOKUP(B19,'Song Tracker'!$A$3:$F$48,6,FALSE)</f>
        <v>2.5115740740740741E-3</v>
      </c>
    </row>
    <row r="20" spans="1:6" ht="22" customHeight="1">
      <c r="A20" s="26">
        <v>17</v>
      </c>
      <c r="B20" s="17" t="s">
        <v>50</v>
      </c>
      <c r="C20" s="24" t="s">
        <v>2</v>
      </c>
      <c r="D20" s="24" t="s">
        <v>3</v>
      </c>
      <c r="E20" s="17" t="s">
        <v>48</v>
      </c>
      <c r="F20" s="48">
        <f>VLOOKUP(B20,'Song Tracker'!$A$3:$F$48,6,FALSE)</f>
        <v>3.3449074074074076E-3</v>
      </c>
    </row>
    <row r="21" spans="1:6" ht="22" customHeight="1">
      <c r="A21" s="26">
        <v>18</v>
      </c>
      <c r="B21" s="17" t="s">
        <v>101</v>
      </c>
      <c r="C21" s="24" t="s">
        <v>2</v>
      </c>
      <c r="D21" s="24" t="s">
        <v>3</v>
      </c>
      <c r="E21" s="17" t="s">
        <v>31</v>
      </c>
      <c r="F21" s="48">
        <v>4.1319444444444442E-3</v>
      </c>
    </row>
    <row r="22" spans="1:6" ht="22" customHeight="1">
      <c r="A22" s="26">
        <v>19</v>
      </c>
      <c r="B22" s="17" t="s">
        <v>99</v>
      </c>
      <c r="C22" s="24" t="s">
        <v>2</v>
      </c>
      <c r="D22" s="24" t="s">
        <v>3</v>
      </c>
      <c r="E22" s="17" t="s">
        <v>39</v>
      </c>
      <c r="F22" s="48">
        <v>2.9513888888888888E-3</v>
      </c>
    </row>
    <row r="23" spans="1:6" ht="22" customHeight="1">
      <c r="A23" s="26">
        <v>20</v>
      </c>
      <c r="B23" s="17" t="s">
        <v>104</v>
      </c>
      <c r="C23" s="24" t="s">
        <v>2</v>
      </c>
      <c r="D23" s="24" t="s">
        <v>3</v>
      </c>
      <c r="E23" s="17" t="s">
        <v>36</v>
      </c>
      <c r="F23" s="48">
        <f>VLOOKUP(B23,'Song Tracker'!$A$3:$F$48,6,FALSE)</f>
        <v>2.4305555555555556E-3</v>
      </c>
    </row>
    <row r="24" spans="1:6" ht="22" customHeight="1">
      <c r="A24" s="26">
        <v>22</v>
      </c>
      <c r="B24" s="17" t="s">
        <v>46</v>
      </c>
      <c r="C24" s="24" t="s">
        <v>2</v>
      </c>
      <c r="D24" s="24" t="s">
        <v>3</v>
      </c>
      <c r="E24" s="17" t="s">
        <v>48</v>
      </c>
      <c r="F24" s="48">
        <v>1.7476851851851852E-3</v>
      </c>
    </row>
    <row r="25" spans="1:6" ht="22" customHeight="1">
      <c r="A25" s="26">
        <v>23</v>
      </c>
      <c r="B25" s="17" t="s">
        <v>92</v>
      </c>
      <c r="C25" s="24" t="s">
        <v>2</v>
      </c>
      <c r="D25" s="24" t="s">
        <v>3</v>
      </c>
      <c r="E25" s="17" t="s">
        <v>36</v>
      </c>
      <c r="F25" s="48">
        <v>2.0486111111111113E-3</v>
      </c>
    </row>
    <row r="26" spans="1:6" ht="22" customHeight="1">
      <c r="A26" s="26">
        <v>24</v>
      </c>
      <c r="B26" s="17" t="s">
        <v>78</v>
      </c>
      <c r="C26" s="24" t="s">
        <v>2</v>
      </c>
      <c r="D26" s="24" t="s">
        <v>3</v>
      </c>
      <c r="E26" s="17" t="s">
        <v>39</v>
      </c>
      <c r="F26" s="48">
        <v>2.5810185185185185E-3</v>
      </c>
    </row>
    <row r="27" spans="1:6" ht="22" customHeight="1">
      <c r="A27" s="26">
        <v>25</v>
      </c>
      <c r="B27" s="17" t="s">
        <v>103</v>
      </c>
      <c r="C27" s="24" t="s">
        <v>2</v>
      </c>
      <c r="D27" s="24" t="s">
        <v>3</v>
      </c>
      <c r="E27" s="17" t="s">
        <v>31</v>
      </c>
      <c r="F27" s="48">
        <v>5.9606481481481481E-3</v>
      </c>
    </row>
    <row r="28" spans="1:6" ht="22" customHeight="1">
      <c r="A28" s="26">
        <v>26</v>
      </c>
      <c r="B28" s="17" t="s">
        <v>74</v>
      </c>
      <c r="C28" s="24" t="s">
        <v>2</v>
      </c>
      <c r="D28" s="24" t="s">
        <v>3</v>
      </c>
      <c r="E28" s="17" t="s">
        <v>39</v>
      </c>
      <c r="F28" s="48">
        <v>4.6874999999999998E-3</v>
      </c>
    </row>
    <row r="29" spans="1:6" ht="22" customHeight="1">
      <c r="A29" s="26">
        <v>27</v>
      </c>
      <c r="B29" s="17" t="s">
        <v>118</v>
      </c>
      <c r="C29" s="24" t="s">
        <v>2</v>
      </c>
      <c r="D29" s="24" t="s">
        <v>3</v>
      </c>
      <c r="E29" s="17" t="s">
        <v>36</v>
      </c>
      <c r="F29" s="48">
        <f>VLOOKUP(B29,'Song Tracker'!$A$3:$F$48,6,FALSE)</f>
        <v>3.472222222222222E-3</v>
      </c>
    </row>
    <row r="30" spans="1:6">
      <c r="A30" s="18"/>
      <c r="B30" s="16"/>
      <c r="C30" s="19"/>
      <c r="D30" s="19"/>
      <c r="E30" s="16"/>
      <c r="F30" s="49"/>
    </row>
    <row r="31" spans="1:6" ht="22" customHeight="1" thickBot="1">
      <c r="A31" s="20"/>
      <c r="B31" s="21" t="s">
        <v>243</v>
      </c>
      <c r="C31" s="22"/>
      <c r="D31" s="22"/>
      <c r="E31" s="21"/>
      <c r="F31" s="23">
        <f>SUM(F4:F30)</f>
        <v>8.1550925925925929E-2</v>
      </c>
    </row>
  </sheetData>
  <mergeCells count="2">
    <mergeCell ref="A1:F1"/>
    <mergeCell ref="A2:F2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D13" r:id="rId20" xr:uid="{00000000-0004-0000-1200-000013000000}"/>
    <hyperlink ref="C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D18" r:id="rId28" xr:uid="{00000000-0004-0000-1200-00001B000000}"/>
    <hyperlink ref="C19" r:id="rId29" xr:uid="{00000000-0004-0000-1200-00001C000000}"/>
    <hyperlink ref="D19" r:id="rId30" xr:uid="{00000000-0004-0000-1200-00001D000000}"/>
    <hyperlink ref="C20" r:id="rId31" xr:uid="{00000000-0004-0000-1200-00001E000000}"/>
    <hyperlink ref="D20" r:id="rId32" xr:uid="{00000000-0004-0000-1200-00001F000000}"/>
    <hyperlink ref="C21" r:id="rId33" xr:uid="{00000000-0004-0000-1200-000020000000}"/>
    <hyperlink ref="D21" r:id="rId34" xr:uid="{00000000-0004-0000-1200-000021000000}"/>
    <hyperlink ref="C22" r:id="rId35" xr:uid="{00000000-0004-0000-1200-000022000000}"/>
    <hyperlink ref="D22" r:id="rId36" xr:uid="{00000000-0004-0000-1200-000023000000}"/>
    <hyperlink ref="C23" r:id="rId37" xr:uid="{00000000-0004-0000-1200-000024000000}"/>
    <hyperlink ref="D23" r:id="rId38" xr:uid="{00000000-0004-0000-1200-000025000000}"/>
    <hyperlink ref="C24" r:id="rId39" xr:uid="{00000000-0004-0000-1200-000026000000}"/>
    <hyperlink ref="D24" r:id="rId40" xr:uid="{00000000-0004-0000-1200-000027000000}"/>
    <hyperlink ref="C25" r:id="rId41" xr:uid="{00000000-0004-0000-1200-000028000000}"/>
    <hyperlink ref="D25" r:id="rId42" xr:uid="{00000000-0004-0000-1200-000029000000}"/>
    <hyperlink ref="C26" r:id="rId43" xr:uid="{00000000-0004-0000-1200-00002A000000}"/>
    <hyperlink ref="D26" r:id="rId44" xr:uid="{00000000-0004-0000-1200-00002B000000}"/>
    <hyperlink ref="C27" r:id="rId45" xr:uid="{00000000-0004-0000-1200-00002C000000}"/>
    <hyperlink ref="D27" r:id="rId46" xr:uid="{00000000-0004-0000-1200-00002D000000}"/>
    <hyperlink ref="C28" r:id="rId47" xr:uid="{00000000-0004-0000-1200-00002E000000}"/>
    <hyperlink ref="D28" r:id="rId48" xr:uid="{00000000-0004-0000-1200-00002F000000}"/>
    <hyperlink ref="C29" r:id="rId49" xr:uid="{00000000-0004-0000-1200-000030000000}"/>
    <hyperlink ref="D29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270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127</v>
      </c>
      <c r="C5" s="24" t="s">
        <v>2</v>
      </c>
      <c r="D5" s="24" t="s">
        <v>3</v>
      </c>
      <c r="E5" s="17" t="s">
        <v>31</v>
      </c>
      <c r="F5" s="48">
        <v>2.0949074074074073E-3</v>
      </c>
    </row>
    <row r="6" spans="1:6" ht="22" customHeight="1">
      <c r="A6" s="26">
        <v>3</v>
      </c>
      <c r="B6" s="17" t="s">
        <v>94</v>
      </c>
      <c r="C6" s="24" t="s">
        <v>2</v>
      </c>
      <c r="D6" s="24" t="s">
        <v>3</v>
      </c>
      <c r="E6" s="17" t="s">
        <v>39</v>
      </c>
      <c r="F6" s="48">
        <v>3.5995370370370369E-3</v>
      </c>
    </row>
    <row r="7" spans="1:6" ht="22" customHeight="1">
      <c r="A7" s="26">
        <v>4</v>
      </c>
      <c r="B7" s="17" t="s">
        <v>65</v>
      </c>
      <c r="C7" s="24" t="s">
        <v>2</v>
      </c>
      <c r="D7" s="24" t="s">
        <v>3</v>
      </c>
      <c r="E7" s="17" t="s">
        <v>36</v>
      </c>
      <c r="F7" s="48">
        <v>2.488425925925926E-3</v>
      </c>
    </row>
    <row r="8" spans="1:6" ht="22" customHeight="1">
      <c r="A8" s="26">
        <v>5</v>
      </c>
      <c r="B8" s="17" t="s">
        <v>85</v>
      </c>
      <c r="C8" s="24" t="s">
        <v>2</v>
      </c>
      <c r="D8" s="24" t="s">
        <v>3</v>
      </c>
      <c r="E8" s="17" t="s">
        <v>48</v>
      </c>
      <c r="F8" s="48">
        <v>1.9791666666666668E-3</v>
      </c>
    </row>
    <row r="9" spans="1:6" ht="22" customHeight="1">
      <c r="A9" s="26">
        <v>6</v>
      </c>
      <c r="B9" s="17" t="s">
        <v>63</v>
      </c>
      <c r="C9" s="24" t="s">
        <v>2</v>
      </c>
      <c r="D9" s="24" t="s">
        <v>3</v>
      </c>
      <c r="E9" s="17" t="s">
        <v>31</v>
      </c>
      <c r="F9" s="48">
        <v>2.7893518518518519E-3</v>
      </c>
    </row>
    <row r="10" spans="1:6" ht="22" customHeight="1">
      <c r="A10" s="26">
        <v>7</v>
      </c>
      <c r="B10" s="17" t="s">
        <v>245</v>
      </c>
      <c r="C10" s="24" t="s">
        <v>2</v>
      </c>
      <c r="D10" s="24" t="s">
        <v>3</v>
      </c>
      <c r="E10" s="17" t="s">
        <v>39</v>
      </c>
      <c r="F10" s="48">
        <v>2.5810185185185185E-3</v>
      </c>
    </row>
    <row r="11" spans="1:6" ht="22" customHeight="1">
      <c r="A11" s="26">
        <v>8</v>
      </c>
      <c r="B11" s="17" t="s">
        <v>34</v>
      </c>
      <c r="C11" s="24" t="s">
        <v>2</v>
      </c>
      <c r="D11" s="24" t="s">
        <v>3</v>
      </c>
      <c r="E11" s="17" t="s">
        <v>36</v>
      </c>
      <c r="F11" s="48">
        <f>VLOOKUP(B11,'Song Tracker'!$A$3:$F$48,6,FALSE)</f>
        <v>3.9583333333333337E-3</v>
      </c>
    </row>
    <row r="12" spans="1:6" ht="22" customHeight="1">
      <c r="A12" s="26">
        <v>9</v>
      </c>
      <c r="B12" s="17" t="s">
        <v>52</v>
      </c>
      <c r="C12" s="24" t="s">
        <v>2</v>
      </c>
      <c r="D12" s="24" t="s">
        <v>3</v>
      </c>
      <c r="E12" s="17" t="s">
        <v>31</v>
      </c>
      <c r="F12" s="48">
        <f>VLOOKUP(B12,'Song Tracker'!$A$3:$F$48,6,FALSE)</f>
        <v>5.5555555555555558E-3</v>
      </c>
    </row>
    <row r="13" spans="1:6" ht="22" customHeight="1">
      <c r="A13" s="26">
        <v>10</v>
      </c>
      <c r="B13" s="17" t="s">
        <v>82</v>
      </c>
      <c r="C13" s="24" t="s">
        <v>2</v>
      </c>
      <c r="D13" s="25"/>
      <c r="E13" s="17" t="s">
        <v>36</v>
      </c>
      <c r="F13" s="48">
        <v>3.8541666666666663E-3</v>
      </c>
    </row>
    <row r="14" spans="1:6" ht="22" customHeight="1">
      <c r="A14" s="26">
        <v>11</v>
      </c>
      <c r="B14" s="17" t="s">
        <v>97</v>
      </c>
      <c r="C14" s="24" t="s">
        <v>2</v>
      </c>
      <c r="D14" s="24" t="s">
        <v>3</v>
      </c>
      <c r="E14" s="17" t="s">
        <v>31</v>
      </c>
      <c r="F14" s="48">
        <v>3.2291666666666666E-3</v>
      </c>
    </row>
    <row r="15" spans="1:6" ht="22" customHeight="1">
      <c r="A15" s="26">
        <v>1</v>
      </c>
      <c r="B15" s="17" t="s">
        <v>110</v>
      </c>
      <c r="C15" s="24" t="s">
        <v>2</v>
      </c>
      <c r="D15" s="24" t="s">
        <v>3</v>
      </c>
      <c r="E15" s="17" t="s">
        <v>112</v>
      </c>
      <c r="F15" s="48">
        <f>VLOOKUP(B15,'Song Tracker'!$A$3:$F$48,6,FALSE)</f>
        <v>3.472222222222222E-3</v>
      </c>
    </row>
    <row r="16" spans="1:6" ht="22" customHeight="1">
      <c r="A16" s="26">
        <v>2</v>
      </c>
      <c r="B16" s="17" t="s">
        <v>80</v>
      </c>
      <c r="C16" s="25"/>
      <c r="D16" s="24" t="s">
        <v>3</v>
      </c>
      <c r="E16" s="17" t="s">
        <v>39</v>
      </c>
      <c r="F16" s="48">
        <f>VLOOKUP(B16,'Song Tracker'!$A$3:$F$48,6,FALSE)</f>
        <v>2.6041666666666665E-3</v>
      </c>
    </row>
    <row r="17" spans="1:6" ht="22" customHeight="1">
      <c r="A17" s="26">
        <v>3</v>
      </c>
      <c r="B17" s="17" t="s">
        <v>101</v>
      </c>
      <c r="C17" s="24" t="s">
        <v>2</v>
      </c>
      <c r="D17" s="24" t="s">
        <v>3</v>
      </c>
      <c r="E17" s="17" t="s">
        <v>31</v>
      </c>
      <c r="F17" s="48">
        <v>4.1319444444444442E-3</v>
      </c>
    </row>
    <row r="18" spans="1:6" ht="22" customHeight="1">
      <c r="A18" s="26">
        <v>4</v>
      </c>
      <c r="B18" s="17" t="s">
        <v>104</v>
      </c>
      <c r="C18" s="24" t="s">
        <v>2</v>
      </c>
      <c r="D18" s="24" t="s">
        <v>3</v>
      </c>
      <c r="E18" s="17" t="s">
        <v>36</v>
      </c>
      <c r="F18" s="48">
        <f>VLOOKUP(B18,'Song Tracker'!$A$3:$F$48,6,FALSE)</f>
        <v>2.4305555555555556E-3</v>
      </c>
    </row>
    <row r="19" spans="1:6" ht="22" customHeight="1">
      <c r="A19" s="26">
        <v>5</v>
      </c>
      <c r="B19" s="17" t="s">
        <v>46</v>
      </c>
      <c r="C19" s="24" t="s">
        <v>2</v>
      </c>
      <c r="D19" s="24" t="s">
        <v>3</v>
      </c>
      <c r="E19" s="17" t="s">
        <v>48</v>
      </c>
      <c r="F19" s="48">
        <v>1.7476851851851852E-3</v>
      </c>
    </row>
    <row r="20" spans="1:6" ht="22" customHeight="1">
      <c r="A20" s="26">
        <v>6</v>
      </c>
      <c r="B20" s="17" t="s">
        <v>92</v>
      </c>
      <c r="C20" s="24" t="s">
        <v>2</v>
      </c>
      <c r="D20" s="24" t="s">
        <v>3</v>
      </c>
      <c r="E20" s="17" t="s">
        <v>36</v>
      </c>
      <c r="F20" s="48">
        <v>2.0486111111111113E-3</v>
      </c>
    </row>
    <row r="21" spans="1:6" ht="22" customHeight="1">
      <c r="A21" s="26">
        <v>7</v>
      </c>
      <c r="B21" s="17" t="s">
        <v>78</v>
      </c>
      <c r="C21" s="24" t="s">
        <v>2</v>
      </c>
      <c r="D21" s="24" t="s">
        <v>3</v>
      </c>
      <c r="E21" s="17" t="s">
        <v>39</v>
      </c>
      <c r="F21" s="48">
        <v>2.5810185185185185E-3</v>
      </c>
    </row>
    <row r="22" spans="1:6" ht="22" customHeight="1">
      <c r="A22" s="26">
        <v>8</v>
      </c>
      <c r="B22" s="17" t="s">
        <v>123</v>
      </c>
      <c r="C22" s="24" t="s">
        <v>2</v>
      </c>
      <c r="D22" s="24" t="s">
        <v>3</v>
      </c>
      <c r="E22" s="17" t="s">
        <v>36</v>
      </c>
      <c r="F22" s="48">
        <v>3.3217592592592595E-3</v>
      </c>
    </row>
    <row r="23" spans="1:6" ht="22" customHeight="1">
      <c r="A23" s="26">
        <v>9</v>
      </c>
      <c r="B23" s="17" t="s">
        <v>103</v>
      </c>
      <c r="C23" s="24" t="s">
        <v>2</v>
      </c>
      <c r="D23" s="24" t="s">
        <v>3</v>
      </c>
      <c r="E23" s="17" t="s">
        <v>31</v>
      </c>
      <c r="F23" s="48">
        <v>5.9606481481481481E-3</v>
      </c>
    </row>
    <row r="24" spans="1:6" ht="22" customHeight="1">
      <c r="A24" s="26">
        <v>10</v>
      </c>
      <c r="B24" s="17" t="s">
        <v>74</v>
      </c>
      <c r="C24" s="24" t="s">
        <v>2</v>
      </c>
      <c r="D24" s="24" t="s">
        <v>3</v>
      </c>
      <c r="E24" s="17" t="s">
        <v>39</v>
      </c>
      <c r="F24" s="48">
        <v>4.6874999999999998E-3</v>
      </c>
    </row>
    <row r="25" spans="1:6">
      <c r="A25" s="18"/>
      <c r="B25" s="16"/>
      <c r="C25" s="19"/>
      <c r="D25" s="19"/>
      <c r="E25" s="16"/>
      <c r="F25" s="49"/>
    </row>
    <row r="26" spans="1:6" ht="22" customHeight="1" thickBot="1">
      <c r="A26" s="20"/>
      <c r="B26" s="21" t="s">
        <v>243</v>
      </c>
      <c r="C26" s="22"/>
      <c r="D26" s="22"/>
      <c r="E26" s="21"/>
      <c r="F26" s="23">
        <f>SUM(F4:F25)</f>
        <v>6.7303240740740733E-2</v>
      </c>
    </row>
  </sheetData>
  <mergeCells count="2">
    <mergeCell ref="A1:F1"/>
    <mergeCell ref="A2:F2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C14" r:id="rId20" xr:uid="{00000000-0004-0000-1300-000013000000}"/>
    <hyperlink ref="D14" r:id="rId21" xr:uid="{00000000-0004-0000-1300-000014000000}"/>
    <hyperlink ref="C15" r:id="rId22" xr:uid="{00000000-0004-0000-1300-000015000000}"/>
    <hyperlink ref="D15" r:id="rId23" xr:uid="{00000000-0004-0000-1300-000016000000}"/>
    <hyperlink ref="D16" r:id="rId24" xr:uid="{00000000-0004-0000-1300-000017000000}"/>
    <hyperlink ref="C17" r:id="rId25" xr:uid="{00000000-0004-0000-1300-000018000000}"/>
    <hyperlink ref="D17" r:id="rId26" xr:uid="{00000000-0004-0000-1300-000019000000}"/>
    <hyperlink ref="C18" r:id="rId27" xr:uid="{00000000-0004-0000-1300-00001A000000}"/>
    <hyperlink ref="D18" r:id="rId28" xr:uid="{00000000-0004-0000-1300-00001B000000}"/>
    <hyperlink ref="C19" r:id="rId29" xr:uid="{00000000-0004-0000-1300-00001C000000}"/>
    <hyperlink ref="D19" r:id="rId30" xr:uid="{00000000-0004-0000-1300-00001D000000}"/>
    <hyperlink ref="C20" r:id="rId31" xr:uid="{00000000-0004-0000-1300-00001E000000}"/>
    <hyperlink ref="D20" r:id="rId32" xr:uid="{00000000-0004-0000-1300-00001F000000}"/>
    <hyperlink ref="C21" r:id="rId33" xr:uid="{00000000-0004-0000-1300-000020000000}"/>
    <hyperlink ref="D21" r:id="rId34" xr:uid="{00000000-0004-0000-1300-000021000000}"/>
    <hyperlink ref="C22" r:id="rId35" xr:uid="{00000000-0004-0000-1300-000022000000}"/>
    <hyperlink ref="D22" r:id="rId36" xr:uid="{00000000-0004-0000-1300-000023000000}"/>
    <hyperlink ref="C23" r:id="rId37" xr:uid="{00000000-0004-0000-1300-000024000000}"/>
    <hyperlink ref="D23" r:id="rId38" xr:uid="{00000000-0004-0000-1300-000025000000}"/>
    <hyperlink ref="C24" r:id="rId39" xr:uid="{00000000-0004-0000-1300-000026000000}"/>
    <hyperlink ref="D24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271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78</v>
      </c>
      <c r="C5" s="24" t="s">
        <v>2</v>
      </c>
      <c r="D5" s="24" t="s">
        <v>3</v>
      </c>
      <c r="E5" s="17" t="s">
        <v>39</v>
      </c>
      <c r="F5" s="48">
        <v>2.5810185185185185E-3</v>
      </c>
    </row>
    <row r="6" spans="1:6" ht="22" customHeight="1">
      <c r="A6" s="26">
        <v>3</v>
      </c>
      <c r="B6" s="17" t="s">
        <v>85</v>
      </c>
      <c r="C6" s="24" t="s">
        <v>2</v>
      </c>
      <c r="D6" s="24" t="s">
        <v>3</v>
      </c>
      <c r="E6" s="17" t="s">
        <v>48</v>
      </c>
      <c r="F6" s="48">
        <v>1.9791666666666668E-3</v>
      </c>
    </row>
    <row r="7" spans="1:6" ht="22" customHeight="1">
      <c r="A7" s="26">
        <v>4</v>
      </c>
      <c r="B7" s="17" t="s">
        <v>63</v>
      </c>
      <c r="C7" s="24" t="s">
        <v>2</v>
      </c>
      <c r="D7" s="24" t="s">
        <v>3</v>
      </c>
      <c r="E7" s="17" t="s">
        <v>31</v>
      </c>
      <c r="F7" s="48">
        <v>2.7893518518518519E-3</v>
      </c>
    </row>
    <row r="8" spans="1:6" ht="22" customHeight="1">
      <c r="A8" s="26">
        <v>5</v>
      </c>
      <c r="B8" s="17" t="s">
        <v>65</v>
      </c>
      <c r="C8" s="24" t="s">
        <v>2</v>
      </c>
      <c r="D8" s="24" t="s">
        <v>3</v>
      </c>
      <c r="E8" s="17" t="s">
        <v>36</v>
      </c>
      <c r="F8" s="48">
        <v>2.488425925925926E-3</v>
      </c>
    </row>
    <row r="9" spans="1:6" ht="22" customHeight="1">
      <c r="A9" s="26">
        <v>6</v>
      </c>
      <c r="B9" s="17" t="s">
        <v>94</v>
      </c>
      <c r="C9" s="24" t="s">
        <v>2</v>
      </c>
      <c r="D9" s="24" t="s">
        <v>3</v>
      </c>
      <c r="E9" s="17" t="s">
        <v>39</v>
      </c>
      <c r="F9" s="48">
        <v>3.5995370370370369E-3</v>
      </c>
    </row>
    <row r="10" spans="1:6" ht="22" customHeight="1">
      <c r="A10" s="26">
        <v>7</v>
      </c>
      <c r="B10" s="17" t="s">
        <v>92</v>
      </c>
      <c r="C10" s="24" t="s">
        <v>2</v>
      </c>
      <c r="D10" s="24" t="s">
        <v>3</v>
      </c>
      <c r="E10" s="17" t="s">
        <v>36</v>
      </c>
      <c r="F10" s="48">
        <v>2.0486111111111113E-3</v>
      </c>
    </row>
    <row r="11" spans="1:6" ht="22" customHeight="1">
      <c r="A11" s="26">
        <v>8</v>
      </c>
      <c r="B11" s="17" t="s">
        <v>97</v>
      </c>
      <c r="C11" s="24" t="s">
        <v>2</v>
      </c>
      <c r="D11" s="24" t="s">
        <v>3</v>
      </c>
      <c r="E11" s="17" t="s">
        <v>31</v>
      </c>
      <c r="F11" s="48">
        <v>3.2291666666666666E-3</v>
      </c>
    </row>
    <row r="12" spans="1:6" ht="22" customHeight="1">
      <c r="A12" s="26">
        <v>9</v>
      </c>
      <c r="B12" s="17" t="s">
        <v>52</v>
      </c>
      <c r="C12" s="24" t="s">
        <v>2</v>
      </c>
      <c r="D12" s="24" t="s">
        <v>3</v>
      </c>
      <c r="E12" s="17" t="s">
        <v>31</v>
      </c>
      <c r="F12" s="48">
        <f>VLOOKUP(B12,'Song Tracker'!$A$3:$F$48,6,FALSE)</f>
        <v>5.5555555555555558E-3</v>
      </c>
    </row>
    <row r="13" spans="1:6" ht="22" customHeight="1">
      <c r="A13" s="26">
        <v>10</v>
      </c>
      <c r="B13" s="17" t="s">
        <v>123</v>
      </c>
      <c r="C13" s="24" t="s">
        <v>2</v>
      </c>
      <c r="D13" s="24" t="s">
        <v>3</v>
      </c>
      <c r="E13" s="17" t="s">
        <v>36</v>
      </c>
      <c r="F13" s="48">
        <v>3.3217592592592595E-3</v>
      </c>
    </row>
    <row r="14" spans="1:6" ht="22" customHeight="1">
      <c r="A14" s="26">
        <v>11</v>
      </c>
      <c r="B14" s="17" t="s">
        <v>74</v>
      </c>
      <c r="C14" s="24" t="s">
        <v>2</v>
      </c>
      <c r="D14" s="24" t="s">
        <v>3</v>
      </c>
      <c r="E14" s="17" t="s">
        <v>39</v>
      </c>
      <c r="F14" s="48">
        <v>4.6874999999999998E-3</v>
      </c>
    </row>
    <row r="15" spans="1:6">
      <c r="A15" s="18"/>
      <c r="B15" s="16"/>
      <c r="C15" s="19"/>
      <c r="D15" s="19"/>
      <c r="E15" s="16"/>
      <c r="F15" s="49"/>
    </row>
    <row r="16" spans="1:6" ht="22" customHeight="1" thickBot="1">
      <c r="A16" s="20"/>
      <c r="B16" s="21" t="s">
        <v>243</v>
      </c>
      <c r="C16" s="22"/>
      <c r="D16" s="22"/>
      <c r="E16" s="21"/>
      <c r="F16" s="23">
        <f>SUM(F4:F15)</f>
        <v>3.4467592592592591E-2</v>
      </c>
    </row>
  </sheetData>
  <mergeCells count="2">
    <mergeCell ref="A1:F1"/>
    <mergeCell ref="A2:F2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D13" r:id="rId20" xr:uid="{00000000-0004-0000-1400-000013000000}"/>
    <hyperlink ref="C14" r:id="rId21" xr:uid="{00000000-0004-0000-1400-000014000000}"/>
    <hyperlink ref="D14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272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127</v>
      </c>
      <c r="C5" s="24" t="s">
        <v>2</v>
      </c>
      <c r="D5" s="24" t="s">
        <v>3</v>
      </c>
      <c r="E5" s="17" t="s">
        <v>31</v>
      </c>
      <c r="F5" s="48">
        <v>2.0949074074074073E-3</v>
      </c>
    </row>
    <row r="6" spans="1:6" ht="22" customHeight="1">
      <c r="A6" s="26">
        <v>3</v>
      </c>
      <c r="B6" s="17" t="s">
        <v>94</v>
      </c>
      <c r="C6" s="24" t="s">
        <v>2</v>
      </c>
      <c r="D6" s="24" t="s">
        <v>3</v>
      </c>
      <c r="E6" s="17" t="s">
        <v>39</v>
      </c>
      <c r="F6" s="48">
        <v>3.5995370370370369E-3</v>
      </c>
    </row>
    <row r="7" spans="1:6" ht="22" customHeight="1">
      <c r="A7" s="26">
        <v>4</v>
      </c>
      <c r="B7" s="17" t="s">
        <v>65</v>
      </c>
      <c r="C7" s="24" t="s">
        <v>2</v>
      </c>
      <c r="D7" s="24" t="s">
        <v>3</v>
      </c>
      <c r="E7" s="17" t="s">
        <v>36</v>
      </c>
      <c r="F7" s="48">
        <v>2.488425925925926E-3</v>
      </c>
    </row>
    <row r="8" spans="1:6" ht="22" customHeight="1">
      <c r="A8" s="26">
        <v>5</v>
      </c>
      <c r="B8" s="17" t="s">
        <v>85</v>
      </c>
      <c r="C8" s="24" t="s">
        <v>2</v>
      </c>
      <c r="D8" s="24" t="s">
        <v>3</v>
      </c>
      <c r="E8" s="17" t="s">
        <v>48</v>
      </c>
      <c r="F8" s="48">
        <v>1.9791666666666668E-3</v>
      </c>
    </row>
    <row r="9" spans="1:6" ht="22" customHeight="1">
      <c r="A9" s="26">
        <v>6</v>
      </c>
      <c r="B9" s="17" t="s">
        <v>63</v>
      </c>
      <c r="C9" s="24" t="s">
        <v>2</v>
      </c>
      <c r="D9" s="24" t="s">
        <v>3</v>
      </c>
      <c r="E9" s="17" t="s">
        <v>31</v>
      </c>
      <c r="F9" s="48">
        <v>2.7893518518518519E-3</v>
      </c>
    </row>
    <row r="10" spans="1:6" ht="22" customHeight="1">
      <c r="A10" s="26">
        <v>7</v>
      </c>
      <c r="B10" s="17" t="s">
        <v>245</v>
      </c>
      <c r="C10" s="24" t="s">
        <v>2</v>
      </c>
      <c r="D10" s="24" t="s">
        <v>3</v>
      </c>
      <c r="E10" s="17" t="s">
        <v>39</v>
      </c>
      <c r="F10" s="48">
        <v>2.5810185185185185E-3</v>
      </c>
    </row>
    <row r="11" spans="1:6" ht="22" customHeight="1">
      <c r="A11" s="26">
        <v>8</v>
      </c>
      <c r="B11" s="17" t="s">
        <v>92</v>
      </c>
      <c r="C11" s="24" t="s">
        <v>2</v>
      </c>
      <c r="D11" s="24" t="s">
        <v>3</v>
      </c>
      <c r="E11" s="17" t="s">
        <v>36</v>
      </c>
      <c r="F11" s="48">
        <v>2.0486111111111113E-3</v>
      </c>
    </row>
    <row r="12" spans="1:6" ht="22" customHeight="1">
      <c r="A12" s="26">
        <v>9</v>
      </c>
      <c r="B12" s="17" t="s">
        <v>52</v>
      </c>
      <c r="C12" s="24" t="s">
        <v>2</v>
      </c>
      <c r="D12" s="24" t="s">
        <v>3</v>
      </c>
      <c r="E12" s="17" t="s">
        <v>31</v>
      </c>
      <c r="F12" s="48">
        <f>VLOOKUP(B12,'Song Tracker'!$A$3:$F$48,6,FALSE)</f>
        <v>5.5555555555555558E-3</v>
      </c>
    </row>
    <row r="13" spans="1:6" ht="22" customHeight="1">
      <c r="A13" s="26">
        <v>10</v>
      </c>
      <c r="B13" s="17" t="s">
        <v>82</v>
      </c>
      <c r="C13" s="24" t="s">
        <v>2</v>
      </c>
      <c r="D13" s="25"/>
      <c r="E13" s="17" t="s">
        <v>36</v>
      </c>
      <c r="F13" s="48">
        <v>3.8541666666666663E-3</v>
      </c>
    </row>
    <row r="14" spans="1:6" ht="22" customHeight="1">
      <c r="A14" s="26">
        <v>11</v>
      </c>
      <c r="B14" s="17" t="s">
        <v>46</v>
      </c>
      <c r="C14" s="24" t="s">
        <v>2</v>
      </c>
      <c r="D14" s="24" t="s">
        <v>3</v>
      </c>
      <c r="E14" s="17" t="s">
        <v>48</v>
      </c>
      <c r="F14" s="48">
        <v>1.7476851851851852E-3</v>
      </c>
    </row>
    <row r="15" spans="1:6" ht="22" customHeight="1">
      <c r="A15" s="26">
        <v>12</v>
      </c>
      <c r="B15" s="17" t="s">
        <v>101</v>
      </c>
      <c r="C15" s="24" t="s">
        <v>2</v>
      </c>
      <c r="D15" s="24" t="s">
        <v>3</v>
      </c>
      <c r="E15" s="17" t="s">
        <v>31</v>
      </c>
      <c r="F15" s="48">
        <v>4.1319444444444442E-3</v>
      </c>
    </row>
    <row r="16" spans="1:6" ht="22" customHeight="1">
      <c r="A16" s="26">
        <v>13</v>
      </c>
      <c r="B16" s="17" t="s">
        <v>78</v>
      </c>
      <c r="C16" s="24" t="s">
        <v>2</v>
      </c>
      <c r="D16" s="24" t="s">
        <v>3</v>
      </c>
      <c r="E16" s="17" t="s">
        <v>39</v>
      </c>
      <c r="F16" s="48">
        <v>2.5810185185185185E-3</v>
      </c>
    </row>
    <row r="17" spans="1:6" ht="22" customHeight="1">
      <c r="A17" s="26">
        <v>14</v>
      </c>
      <c r="B17" s="17" t="s">
        <v>123</v>
      </c>
      <c r="C17" s="24" t="s">
        <v>2</v>
      </c>
      <c r="D17" s="24" t="s">
        <v>3</v>
      </c>
      <c r="E17" s="17" t="s">
        <v>36</v>
      </c>
      <c r="F17" s="48">
        <v>3.3217592592592595E-3</v>
      </c>
    </row>
    <row r="18" spans="1:6" ht="22" customHeight="1">
      <c r="A18" s="26">
        <v>15</v>
      </c>
      <c r="B18" s="17" t="s">
        <v>97</v>
      </c>
      <c r="C18" s="24" t="s">
        <v>2</v>
      </c>
      <c r="D18" s="24" t="s">
        <v>3</v>
      </c>
      <c r="E18" s="17" t="s">
        <v>31</v>
      </c>
      <c r="F18" s="48">
        <v>3.2291666666666666E-3</v>
      </c>
    </row>
    <row r="19" spans="1:6" ht="22" customHeight="1">
      <c r="A19" s="26">
        <v>16</v>
      </c>
      <c r="B19" s="17" t="s">
        <v>103</v>
      </c>
      <c r="C19" s="24" t="s">
        <v>2</v>
      </c>
      <c r="D19" s="24" t="s">
        <v>3</v>
      </c>
      <c r="E19" s="17" t="s">
        <v>31</v>
      </c>
      <c r="F19" s="48">
        <v>5.9606481481481481E-3</v>
      </c>
    </row>
    <row r="20" spans="1:6">
      <c r="A20" s="18"/>
      <c r="B20" s="16"/>
      <c r="C20" s="19"/>
      <c r="D20" s="19"/>
      <c r="E20" s="16"/>
      <c r="F20" s="49"/>
    </row>
    <row r="21" spans="1:6" ht="22" customHeight="1" thickBot="1">
      <c r="A21" s="20"/>
      <c r="B21" s="21" t="s">
        <v>243</v>
      </c>
      <c r="C21" s="22"/>
      <c r="D21" s="22"/>
      <c r="E21" s="21"/>
      <c r="F21" s="23">
        <f>SUM(F4:F20)</f>
        <v>5.0150462962962959E-2</v>
      </c>
    </row>
  </sheetData>
  <mergeCells count="2">
    <mergeCell ref="A1:F1"/>
    <mergeCell ref="A2:F2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C14" r:id="rId20" xr:uid="{00000000-0004-0000-1500-000013000000}"/>
    <hyperlink ref="D14" r:id="rId21" xr:uid="{00000000-0004-0000-1500-000014000000}"/>
    <hyperlink ref="C15" r:id="rId22" xr:uid="{00000000-0004-0000-1500-000015000000}"/>
    <hyperlink ref="D15" r:id="rId23" xr:uid="{00000000-0004-0000-1500-000016000000}"/>
    <hyperlink ref="C16" r:id="rId24" xr:uid="{00000000-0004-0000-1500-000017000000}"/>
    <hyperlink ref="D16" r:id="rId25" xr:uid="{00000000-0004-0000-1500-000018000000}"/>
    <hyperlink ref="C17" r:id="rId26" xr:uid="{00000000-0004-0000-1500-000019000000}"/>
    <hyperlink ref="D17" r:id="rId27" xr:uid="{00000000-0004-0000-1500-00001A000000}"/>
    <hyperlink ref="C18" r:id="rId28" xr:uid="{00000000-0004-0000-1500-00001B000000}"/>
    <hyperlink ref="D18" r:id="rId29" xr:uid="{00000000-0004-0000-1500-00001C000000}"/>
    <hyperlink ref="C19" r:id="rId30" xr:uid="{00000000-0004-0000-1500-00001D000000}"/>
    <hyperlink ref="D19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273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127</v>
      </c>
      <c r="C5" s="24" t="s">
        <v>2</v>
      </c>
      <c r="D5" s="24" t="s">
        <v>3</v>
      </c>
      <c r="E5" s="17" t="s">
        <v>31</v>
      </c>
      <c r="F5" s="48">
        <v>2.0949074074074073E-3</v>
      </c>
    </row>
    <row r="6" spans="1:6" ht="22" customHeight="1">
      <c r="A6" s="26">
        <v>3</v>
      </c>
      <c r="B6" s="17" t="s">
        <v>78</v>
      </c>
      <c r="C6" s="24" t="s">
        <v>2</v>
      </c>
      <c r="D6" s="24" t="s">
        <v>3</v>
      </c>
      <c r="E6" s="17" t="s">
        <v>39</v>
      </c>
      <c r="F6" s="48">
        <v>2.5810185185185185E-3</v>
      </c>
    </row>
    <row r="7" spans="1:6" ht="22" customHeight="1">
      <c r="A7" s="26">
        <v>4</v>
      </c>
      <c r="B7" s="17" t="s">
        <v>123</v>
      </c>
      <c r="C7" s="24" t="s">
        <v>2</v>
      </c>
      <c r="D7" s="24" t="s">
        <v>3</v>
      </c>
      <c r="E7" s="17" t="s">
        <v>36</v>
      </c>
      <c r="F7" s="48">
        <v>3.3217592592592595E-3</v>
      </c>
    </row>
    <row r="8" spans="1:6" ht="22" customHeight="1">
      <c r="A8" s="26">
        <v>5</v>
      </c>
      <c r="B8" s="17" t="s">
        <v>52</v>
      </c>
      <c r="C8" s="24" t="s">
        <v>2</v>
      </c>
      <c r="D8" s="24" t="s">
        <v>3</v>
      </c>
      <c r="E8" s="17" t="s">
        <v>31</v>
      </c>
      <c r="F8" s="48">
        <f>VLOOKUP(B8,'Song Tracker'!$A$3:$F$48,6,FALSE)</f>
        <v>5.5555555555555558E-3</v>
      </c>
    </row>
    <row r="9" spans="1:6" ht="22" customHeight="1">
      <c r="A9" s="26">
        <v>6</v>
      </c>
      <c r="B9" s="17" t="s">
        <v>104</v>
      </c>
      <c r="C9" s="24" t="s">
        <v>2</v>
      </c>
      <c r="D9" s="24" t="s">
        <v>3</v>
      </c>
      <c r="E9" s="17" t="s">
        <v>36</v>
      </c>
      <c r="F9" s="48">
        <f>VLOOKUP(B9,'Song Tracker'!$A$3:$F$48,6,FALSE)</f>
        <v>2.4305555555555556E-3</v>
      </c>
    </row>
    <row r="10" spans="1:6" ht="22" customHeight="1">
      <c r="A10" s="26">
        <v>7</v>
      </c>
      <c r="B10" s="17" t="s">
        <v>101</v>
      </c>
      <c r="C10" s="24" t="s">
        <v>2</v>
      </c>
      <c r="D10" s="24" t="s">
        <v>3</v>
      </c>
      <c r="E10" s="17" t="s">
        <v>31</v>
      </c>
      <c r="F10" s="48">
        <v>4.1319444444444442E-3</v>
      </c>
    </row>
    <row r="11" spans="1:6" ht="22" customHeight="1">
      <c r="A11" s="26">
        <v>8</v>
      </c>
      <c r="B11" s="17" t="s">
        <v>74</v>
      </c>
      <c r="C11" s="24" t="s">
        <v>2</v>
      </c>
      <c r="D11" s="24" t="s">
        <v>3</v>
      </c>
      <c r="E11" s="17" t="s">
        <v>39</v>
      </c>
      <c r="F11" s="48">
        <v>4.6874999999999998E-3</v>
      </c>
    </row>
    <row r="12" spans="1:6" ht="22" customHeight="1">
      <c r="A12" s="26">
        <v>9</v>
      </c>
      <c r="B12" s="17" t="s">
        <v>63</v>
      </c>
      <c r="C12" s="24" t="s">
        <v>2</v>
      </c>
      <c r="D12" s="24" t="s">
        <v>3</v>
      </c>
      <c r="E12" s="17" t="s">
        <v>31</v>
      </c>
      <c r="F12" s="48">
        <v>2.7893518518518519E-3</v>
      </c>
    </row>
    <row r="13" spans="1:6" ht="22" customHeight="1">
      <c r="A13" s="26">
        <v>10</v>
      </c>
      <c r="B13" s="17" t="s">
        <v>92</v>
      </c>
      <c r="C13" s="24" t="s">
        <v>2</v>
      </c>
      <c r="D13" s="24" t="s">
        <v>3</v>
      </c>
      <c r="E13" s="17" t="s">
        <v>36</v>
      </c>
      <c r="F13" s="48">
        <v>2.0486111111111113E-3</v>
      </c>
    </row>
    <row r="14" spans="1:6" ht="22" customHeight="1">
      <c r="A14" s="26">
        <v>11</v>
      </c>
      <c r="B14" s="17" t="s">
        <v>103</v>
      </c>
      <c r="C14" s="24" t="s">
        <v>2</v>
      </c>
      <c r="D14" s="24" t="s">
        <v>3</v>
      </c>
      <c r="E14" s="17" t="s">
        <v>31</v>
      </c>
      <c r="F14" s="48">
        <v>5.9606481481481481E-3</v>
      </c>
    </row>
    <row r="15" spans="1:6" ht="22" customHeight="1">
      <c r="A15" s="18"/>
      <c r="B15" s="16"/>
      <c r="C15" s="19"/>
      <c r="D15" s="19"/>
      <c r="E15" s="16"/>
      <c r="F15" s="49"/>
    </row>
    <row r="16" spans="1:6" ht="22" customHeight="1" thickBot="1">
      <c r="A16" s="20"/>
      <c r="B16" s="21" t="s">
        <v>243</v>
      </c>
      <c r="C16" s="22"/>
      <c r="D16" s="22"/>
      <c r="E16" s="21"/>
      <c r="F16" s="23">
        <f>SUM(F4:F15)</f>
        <v>3.7789351851851852E-2</v>
      </c>
    </row>
  </sheetData>
  <mergeCells count="2">
    <mergeCell ref="A1:F1"/>
    <mergeCell ref="A2:F2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  <hyperlink ref="C14" r:id="rId21" xr:uid="{00000000-0004-0000-1600-000014000000}"/>
    <hyperlink ref="D14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50" thickBot="1">
      <c r="A1" s="163" t="s">
        <v>83</v>
      </c>
      <c r="B1" s="164"/>
      <c r="C1" s="164"/>
      <c r="D1" s="164"/>
      <c r="E1" s="164"/>
      <c r="F1" s="165"/>
    </row>
    <row r="2" spans="1:6" ht="28" customHeight="1" thickBot="1">
      <c r="A2" s="166" t="s">
        <v>274</v>
      </c>
      <c r="B2" s="167"/>
      <c r="C2" s="167"/>
      <c r="D2" s="167"/>
      <c r="E2" s="167"/>
      <c r="F2" s="168"/>
    </row>
    <row r="3" spans="1:6" ht="22" customHeight="1">
      <c r="A3" s="150" t="s">
        <v>241</v>
      </c>
      <c r="B3" s="151" t="s">
        <v>1</v>
      </c>
      <c r="C3" s="152" t="s">
        <v>2</v>
      </c>
      <c r="D3" s="152" t="s">
        <v>3</v>
      </c>
      <c r="E3" s="151" t="s">
        <v>242</v>
      </c>
      <c r="F3" s="153" t="s">
        <v>6</v>
      </c>
    </row>
    <row r="4" spans="1:6" ht="22" customHeight="1">
      <c r="A4" s="26">
        <v>1</v>
      </c>
      <c r="B4" s="17" t="s">
        <v>49</v>
      </c>
      <c r="C4" s="24" t="s">
        <v>2</v>
      </c>
      <c r="D4" s="24" t="s">
        <v>3</v>
      </c>
      <c r="E4" s="17" t="s">
        <v>31</v>
      </c>
      <c r="F4" s="48">
        <v>2.1874999999999998E-3</v>
      </c>
    </row>
    <row r="5" spans="1:6" ht="22" customHeight="1">
      <c r="A5" s="26">
        <v>2</v>
      </c>
      <c r="B5" s="17" t="s">
        <v>65</v>
      </c>
      <c r="C5" s="24" t="s">
        <v>2</v>
      </c>
      <c r="D5" s="24" t="s">
        <v>3</v>
      </c>
      <c r="E5" s="17" t="s">
        <v>36</v>
      </c>
      <c r="F5" s="48">
        <v>2.488425925925926E-3</v>
      </c>
    </row>
    <row r="6" spans="1:6" ht="22" customHeight="1">
      <c r="A6" s="26">
        <v>3</v>
      </c>
      <c r="B6" s="17" t="s">
        <v>96</v>
      </c>
      <c r="C6" s="24" t="s">
        <v>2</v>
      </c>
      <c r="D6" s="24" t="s">
        <v>3</v>
      </c>
      <c r="E6" s="17" t="s">
        <v>48</v>
      </c>
      <c r="F6" s="48">
        <f>VLOOKUP(B6,'Song Tracker'!$A$3:$F$48,6,FALSE)</f>
        <v>1.9675925925925924E-3</v>
      </c>
    </row>
    <row r="7" spans="1:6" ht="22" customHeight="1">
      <c r="A7" s="26">
        <v>4</v>
      </c>
      <c r="B7" s="17" t="s">
        <v>52</v>
      </c>
      <c r="C7" s="24" t="s">
        <v>2</v>
      </c>
      <c r="D7" s="24" t="s">
        <v>3</v>
      </c>
      <c r="E7" s="17" t="s">
        <v>31</v>
      </c>
      <c r="F7" s="48">
        <f>VLOOKUP(B7,'Song Tracker'!$A$3:$F$48,6,FALSE)</f>
        <v>5.5555555555555558E-3</v>
      </c>
    </row>
    <row r="8" spans="1:6" ht="22" customHeight="1">
      <c r="A8" s="26">
        <v>5</v>
      </c>
      <c r="B8" s="17" t="s">
        <v>46</v>
      </c>
      <c r="C8" s="24" t="s">
        <v>2</v>
      </c>
      <c r="D8" s="24" t="s">
        <v>3</v>
      </c>
      <c r="E8" s="17" t="s">
        <v>48</v>
      </c>
      <c r="F8" s="48">
        <v>1.7476851851851852E-3</v>
      </c>
    </row>
    <row r="9" spans="1:6" ht="22" customHeight="1">
      <c r="A9" s="26">
        <v>6</v>
      </c>
      <c r="B9" s="17" t="s">
        <v>123</v>
      </c>
      <c r="C9" s="24" t="s">
        <v>2</v>
      </c>
      <c r="D9" s="24" t="s">
        <v>3</v>
      </c>
      <c r="E9" s="17" t="s">
        <v>36</v>
      </c>
      <c r="F9" s="48">
        <v>3.3217592592592595E-3</v>
      </c>
    </row>
    <row r="10" spans="1:6" ht="22" customHeight="1">
      <c r="A10" s="26">
        <v>7</v>
      </c>
      <c r="B10" s="17" t="s">
        <v>61</v>
      </c>
      <c r="C10" s="25"/>
      <c r="D10" s="24" t="s">
        <v>3</v>
      </c>
      <c r="E10" s="17" t="s">
        <v>31</v>
      </c>
      <c r="F10" s="48">
        <f>VLOOKUP(B10,'Song Tracker'!$A$3:$F$48,6,FALSE)</f>
        <v>1.7708333333333332E-3</v>
      </c>
    </row>
    <row r="11" spans="1:6" ht="22" customHeight="1">
      <c r="A11" s="26">
        <v>8</v>
      </c>
      <c r="B11" s="17" t="s">
        <v>78</v>
      </c>
      <c r="C11" s="24" t="s">
        <v>2</v>
      </c>
      <c r="D11" s="24" t="s">
        <v>3</v>
      </c>
      <c r="E11" s="17" t="s">
        <v>39</v>
      </c>
      <c r="F11" s="48">
        <v>2.5810185185185185E-3</v>
      </c>
    </row>
    <row r="12" spans="1:6" ht="22" customHeight="1">
      <c r="A12" s="26">
        <v>9</v>
      </c>
      <c r="B12" s="17" t="s">
        <v>127</v>
      </c>
      <c r="C12" s="24" t="s">
        <v>2</v>
      </c>
      <c r="D12" s="24" t="s">
        <v>3</v>
      </c>
      <c r="E12" s="17" t="s">
        <v>31</v>
      </c>
      <c r="F12" s="48">
        <v>2.0949074074074073E-3</v>
      </c>
    </row>
    <row r="13" spans="1:6" ht="22" customHeight="1">
      <c r="A13" s="26">
        <v>10</v>
      </c>
      <c r="B13" s="17" t="s">
        <v>74</v>
      </c>
      <c r="C13" s="24" t="s">
        <v>2</v>
      </c>
      <c r="D13" s="24" t="s">
        <v>3</v>
      </c>
      <c r="E13" s="17" t="s">
        <v>39</v>
      </c>
      <c r="F13" s="48">
        <v>4.6874999999999998E-3</v>
      </c>
    </row>
    <row r="14" spans="1:6">
      <c r="A14" s="18"/>
      <c r="B14" s="16"/>
      <c r="C14" s="19"/>
      <c r="D14" s="19"/>
      <c r="E14" s="16"/>
      <c r="F14" s="49"/>
    </row>
    <row r="15" spans="1:6" ht="22" customHeight="1" thickBot="1">
      <c r="A15" s="20"/>
      <c r="B15" s="21" t="s">
        <v>243</v>
      </c>
      <c r="C15" s="22"/>
      <c r="D15" s="22"/>
      <c r="E15" s="21"/>
      <c r="F15" s="23">
        <f>SUM(F4:F14)</f>
        <v>2.8402777777777777E-2</v>
      </c>
    </row>
  </sheetData>
  <mergeCells count="2">
    <mergeCell ref="A1:F1"/>
    <mergeCell ref="A2:F2"/>
  </mergeCells>
  <hyperlinks>
    <hyperlink ref="C4" r:id="rId1" xr:uid="{00000000-0004-0000-1700-000000000000}"/>
    <hyperlink ref="D4" r:id="rId2" xr:uid="{00000000-0004-0000-1700-000001000000}"/>
    <hyperlink ref="C5" r:id="rId3" xr:uid="{00000000-0004-0000-1700-000002000000}"/>
    <hyperlink ref="D5" r:id="rId4" xr:uid="{00000000-0004-0000-1700-000003000000}"/>
    <hyperlink ref="C6" r:id="rId5" xr:uid="{00000000-0004-0000-1700-000004000000}"/>
    <hyperlink ref="D6" r:id="rId6" xr:uid="{00000000-0004-0000-1700-000005000000}"/>
    <hyperlink ref="C7" r:id="rId7" xr:uid="{00000000-0004-0000-1700-000006000000}"/>
    <hyperlink ref="D7" r:id="rId8" xr:uid="{00000000-0004-0000-1700-000007000000}"/>
    <hyperlink ref="C8" r:id="rId9" xr:uid="{00000000-0004-0000-1700-000008000000}"/>
    <hyperlink ref="D8" r:id="rId10" xr:uid="{00000000-0004-0000-1700-000009000000}"/>
    <hyperlink ref="C9" r:id="rId11" xr:uid="{00000000-0004-0000-1700-00000A000000}"/>
    <hyperlink ref="D9" r:id="rId12" xr:uid="{00000000-0004-0000-1700-00000B000000}"/>
    <hyperlink ref="D10" r:id="rId13" xr:uid="{00000000-0004-0000-1700-00000C000000}"/>
    <hyperlink ref="C11" r:id="rId14" xr:uid="{00000000-0004-0000-1700-00000D000000}"/>
    <hyperlink ref="D11" r:id="rId15" xr:uid="{00000000-0004-0000-1700-00000E000000}"/>
    <hyperlink ref="C12" r:id="rId16" xr:uid="{00000000-0004-0000-1700-00000F000000}"/>
    <hyperlink ref="D12" r:id="rId17" xr:uid="{00000000-0004-0000-1700-000010000000}"/>
    <hyperlink ref="C13" r:id="rId18" xr:uid="{00000000-0004-0000-1700-000011000000}"/>
    <hyperlink ref="D13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2026-06-03T14:41:46Z</dcterms:modified>
  <cp:category/>
  <cp:contentStatus/>
</cp:coreProperties>
</file>