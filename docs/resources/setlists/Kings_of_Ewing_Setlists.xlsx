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13_ncr:1_{92F91A74-B5CF-C446-880E-6E1E596CED1B}" xr6:coauthVersionLast="47" xr6:coauthVersionMax="47" xr10:uidLastSave="{00000000-0000-0000-0000-000000000000}"/>
  <bookViews>
    <workbookView xWindow="3900" yWindow="3020" windowWidth="29580" windowHeight="17160" activeTab="5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Shallot'!$A$2:$F$21</definedName>
    <definedName name="_xlnm.Print_Area" localSheetId="7">'2026-05-16 Fat Shallot'!$A$1:$F$29</definedName>
    <definedName name="_xlnm.Print_Area" localSheetId="6">'2026-06-21 Chicago Union'!$A$1:$F$19</definedName>
    <definedName name="_xlnm.Print_Area" localSheetId="5">'2026-06-24 Ridgeville Parks'!$A$1:$F$31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3" i="1"/>
  <c r="F31" i="6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0" i="8"/>
  <c r="F11" i="9"/>
  <c r="F21" i="9" s="1"/>
  <c r="F6" i="24"/>
  <c r="F7" i="24"/>
  <c r="F10" i="24"/>
  <c r="F8" i="23"/>
  <c r="F9" i="23"/>
  <c r="F12" i="22"/>
  <c r="F21" i="22" s="1"/>
  <c r="F12" i="21"/>
  <c r="F16" i="21" s="1"/>
  <c r="F11" i="20"/>
  <c r="F12" i="20"/>
  <c r="F15" i="20"/>
  <c r="F16" i="20"/>
  <c r="F18" i="20"/>
  <c r="F11" i="19"/>
  <c r="F12" i="19"/>
  <c r="F13" i="19"/>
  <c r="F17" i="19"/>
  <c r="F18" i="19"/>
  <c r="F19" i="19"/>
  <c r="F20" i="19"/>
  <c r="F23" i="19"/>
  <c r="F29" i="19"/>
  <c r="F8" i="18"/>
  <c r="F12" i="18"/>
  <c r="F4" i="17"/>
  <c r="F11" i="17"/>
  <c r="F7" i="16"/>
  <c r="F10" i="16"/>
  <c r="F16" i="16"/>
  <c r="F7" i="15"/>
  <c r="F11" i="15"/>
  <c r="F13" i="15"/>
  <c r="F20" i="15"/>
  <c r="F26" i="15"/>
  <c r="F28" i="15"/>
  <c r="F8" i="14"/>
  <c r="F13" i="14"/>
  <c r="F15" i="14"/>
  <c r="F8" i="13"/>
  <c r="F13" i="13"/>
  <c r="F31" i="12"/>
  <c r="F34" i="12"/>
  <c r="F15" i="11"/>
  <c r="F4" i="10"/>
  <c r="F22" i="10" s="1"/>
  <c r="F19" i="7" l="1"/>
  <c r="F36" i="12"/>
  <c r="F15" i="24"/>
  <c r="F26" i="20"/>
  <c r="F19" i="14"/>
  <c r="F19" i="17"/>
  <c r="F31" i="19"/>
  <c r="F16" i="23"/>
  <c r="F18" i="13"/>
  <c r="F33" i="15"/>
  <c r="F16" i="18"/>
  <c r="F25" i="16"/>
</calcChain>
</file>

<file path=xl/sharedStrings.xml><?xml version="1.0" encoding="utf-8"?>
<sst xmlns="http://schemas.openxmlformats.org/spreadsheetml/2006/main" count="2370" uniqueCount="276">
  <si>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</si>
  <si>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</si>
  <si>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</si>
  <si>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</si>
  <si>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</si>
  <si>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</si>
  <si>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</si>
  <si>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</si>
  <si>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</si>
  <si>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</si>
  <si>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</si>
  <si>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</si>
  <si>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</si>
  <si>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</si>
  <si>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</si>
  <si>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</si>
  <si>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</si>
  <si>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</si>
  <si>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</si>
  <si>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</si>
  <si>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</si>
  <si>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</si>
  <si>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</si>
  <si>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</si>
  <si>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</si>
  <si>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</si>
  <si>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</si>
  <si>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</si>
  <si>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</si>
  <si>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</si>
  <si>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</si>
  <si>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</si>
  <si>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</si>
  <si>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</si>
  <si>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</si>
  <si>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</si>
  <si>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</si>
  <si>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</si>
  <si>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</si>
  <si>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</si>
  <si>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</si>
  <si>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</si>
  <si>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</si>
  <si>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</si>
  <si>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</si>
  <si>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</si>
  <si>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</si>
  <si>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</si>
  <si>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</si>
  <si>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</si>
  <si>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</si>
  <si>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</si>
  <si>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</si>
  <si>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</si>
  <si>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</si>
  <si>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</si>
  <si>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</si>
  <si>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</si>
  <si>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</si>
  <si>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</si>
  <si>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</si>
  <si>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</si>
  <si>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</si>
  <si>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</si>
  <si>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</si>
  <si>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</si>
  <si>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</si>
  <si>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</si>
  <si>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</si>
  <si>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</si>
  <si>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</si>
  <si>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</si>
  <si>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</si>
  <si>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</si>
  <si>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</si>
  <si>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</si>
  <si>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</si>
  <si>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</si>
  <si>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</si>
  <si>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</si>
  <si>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</si>
  <si>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</si>
  <si>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</si>
  <si>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</si>
  <si>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</si>
  <si>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</si>
  <si>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</si>
  <si>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</si>
  <si>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</si>
  <si>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</si>
  <si>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</si>
  <si>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</si>
  <si>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</si>
  <si>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</si>
  <si>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</si>
  <si>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</si>
  <si>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</si>
  <si>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</si>
  <si>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</si>
  <si>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</si>
  <si>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</si>
  <si>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</si>
  <si>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</si>
  <si>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</si>
  <si>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</si>
  <si>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</si>
  <si>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</si>
  <si>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</si>
  <si>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</si>
  <si>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</si>
  <si>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</si>
  <si>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</si>
  <si>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</si>
  <si>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</si>
  <si>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</si>
  <si>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</si>
  <si>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</si>
  <si>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</si>
  <si>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</si>
  <si>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</si>
  <si>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</si>
  <si>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</si>
  <si>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</si>
  <si>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</si>
  <si>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</si>
  <si>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</si>
  <si>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</si>
  <si>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</si>
  <si>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</si>
  <si>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</si>
  <si>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</si>
  <si>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</si>
  <si>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</si>
  <si>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</si>
  <si>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</si>
  <si>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</si>
  <si>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</si>
  <si>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</si>
  <si>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</si>
  <si>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</si>
  <si>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</si>
  <si>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</si>
  <si>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</si>
  <si>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</si>
  <si>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</si>
  <si>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</si>
  <si>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</si>
  <si>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</si>
  <si>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</si>
  <si>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</si>
  <si>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</si>
  <si>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</si>
  <si>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</si>
  <si>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</si>
  <si>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</si>
  <si>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</si>
  <si>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</si>
  <si>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</si>
  <si>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</si>
  <si>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</si>
  <si>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</si>
  <si>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</si>
  <si>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</si>
  <si>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</si>
  <si>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</si>
  <si>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</si>
  <si>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</si>
  <si>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</si>
  <si>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</si>
  <si>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</si>
  <si>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</si>
  <si>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</si>
  <si>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</si>
  <si>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</si>
  <si>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</si>
  <si>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</si>
  <si>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</si>
  <si>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</si>
  <si>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</si>
  <si>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</si>
  <si>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</si>
  <si>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</si>
  <si>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</si>
  <si>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</si>
  <si>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</si>
  <si>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</si>
  <si>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</si>
  <si>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</si>
  <si>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</si>
  <si>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</si>
  <si>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</si>
  <si>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</si>
  <si>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</si>
  <si>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</si>
  <si>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</si>
  <si>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</si>
  <si>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</si>
  <si>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</si>
  <si>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</si>
  <si>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</si>
  <si>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</si>
  <si>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</si>
  <si>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</si>
  <si>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</si>
  <si>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</si>
  <si>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</si>
  <si>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</si>
  <si>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</si>
  <si>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</si>
  <si>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</si>
  <si>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</si>
  <si>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</si>
  <si>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</si>
  <si>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</si>
  <si>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</si>
  <si>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</si>
  <si>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</si>
  <si>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</si>
  <si>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</si>
  <si>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</si>
  <si>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</si>
  <si>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</si>
  <si>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</si>
  <si>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</si>
  <si>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</si>
  <si>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</si>
  <si>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</si>
  <si>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</si>
  <si>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</si>
  <si>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</si>
  <si>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</si>
  <si>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</si>
  <si>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</si>
  <si>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</si>
  <si>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</si>
  <si>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</si>
  <si>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</si>
  <si>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</si>
  <si>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</si>
  <si>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</si>
  <si>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</si>
  <si>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#</t>
  </si>
  <si>
    <t>Vocals</t>
  </si>
  <si>
    <t>Total Set Length</t>
  </si>
  <si>
    <t>2026-05-16 — Fat Shallot — 7:00-9:00 PM</t>
  </si>
  <si>
    <t>Bohemian Like You</t>
  </si>
  <si>
    <t>BREAK</t>
  </si>
  <si>
    <t>opener</t>
  </si>
  <si>
    <t>*encore</t>
  </si>
  <si>
    <t>encore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</si>
  <si>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</si>
  <si>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</si>
  <si>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</si>
  <si>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</si>
  <si>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</si>
  <si>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</si>
  <si>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</si>
  <si>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</si>
  <si>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2026-06-24 | Ridgeville Parks District | 6:00 PM</t>
  </si>
  <si>
    <t>2026-05-14 | Fat Shallot | 5:30 PM</t>
  </si>
  <si>
    <t>2026-05-02 | Lincolnwood PTA Spring Fling</t>
  </si>
  <si>
    <t>2026-04-22 | American Legion (D65 Spring Cha Ching)</t>
  </si>
  <si>
    <t>2026-01-24 | Goat Village</t>
  </si>
  <si>
    <t>2025-11-16 | Double Clutch (Bundled Blessings Fundraiser)</t>
  </si>
  <si>
    <t>2025-09-06 | Ewing Block Party</t>
  </si>
  <si>
    <t>2025-06-25 | American Legion</t>
  </si>
  <si>
    <t>2025-06-07 | Fat Shallot</t>
  </si>
  <si>
    <t>2025-05-03 | Lincolnwood PTA Spring Fling</t>
  </si>
  <si>
    <t>2024-10-09 | Fat Shallot (Covenant Nursery Dining for Dollars)</t>
  </si>
  <si>
    <t>2024-09-07 | Ewing Block Party</t>
  </si>
  <si>
    <t>2024-08-10 | Fat Shallot</t>
  </si>
  <si>
    <t>2024-07-13 | Chicago Union (NU Soccer)</t>
  </si>
  <si>
    <t>2024-06-08 | Fat Shallot</t>
  </si>
  <si>
    <t>2024-04-27 | Lincolnwood PTA Spring Fling</t>
  </si>
  <si>
    <t>2023-09-09 | Ewing Block Party</t>
  </si>
  <si>
    <t>2026-06-21 | Chicago Union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</si>
</sst>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  <font>
      <u/>
      <sz val="12"/>
      <color theme="1"/>
      <name val="Courier New"/>
      <family val="1"/>
    </font>
    <font>
      <sz val="11"/>
      <color theme="1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3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202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6" fillId="0" borderId="9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46" fontId="19" fillId="0" borderId="13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0" borderId="12" xfId="0" applyNumberFormat="1" applyFont="1" applyBorder="1" applyAlignment="1">
      <alignment horizontal="center" vertical="center"/>
    </xf>
    <xf numFmtId="165" fontId="16" fillId="0" borderId="12" xfId="0" applyNumberFormat="1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0" fontId="16" fillId="0" borderId="14" xfId="0" applyFont="1" applyBorder="1" applyAlignment="1">
      <alignment horizontal="center"/>
    </xf>
    <xf numFmtId="165" fontId="16" fillId="0" borderId="15" xfId="0" applyNumberFormat="1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0" fontId="19" fillId="0" borderId="17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46" fontId="19" fillId="0" borderId="18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24" xfId="0" applyNumberFormat="1" applyFont="1" applyFill="1" applyBorder="1" applyAlignment="1">
      <alignment horizontal="left" vertical="center"/>
    </xf>
    <xf numFmtId="0" fontId="18" fillId="2" borderId="26" xfId="0" applyFont="1" applyFill="1" applyBorder="1" applyAlignment="1">
      <alignment horizontal="center" vertical="center"/>
    </xf>
    <xf numFmtId="0" fontId="18" fillId="2" borderId="25" xfId="0" applyFont="1" applyFill="1" applyBorder="1" applyAlignment="1">
      <alignment horizontal="center" vertical="center"/>
    </xf>
    <xf numFmtId="0" fontId="18" fillId="2" borderId="24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left" vertical="center"/>
    </xf>
    <xf numFmtId="0" fontId="3" fillId="2" borderId="28" xfId="0" applyFont="1" applyFill="1" applyBorder="1" applyAlignment="1">
      <alignment horizontal="left" vertical="center"/>
    </xf>
    <xf numFmtId="0" fontId="10" fillId="2" borderId="28" xfId="0" applyFont="1" applyFill="1" applyBorder="1" applyAlignment="1">
      <alignment horizontal="left" vertical="center"/>
    </xf>
    <xf numFmtId="0" fontId="10" fillId="2" borderId="29" xfId="0" applyFont="1" applyFill="1" applyBorder="1" applyAlignment="1">
      <alignment horizontal="left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32" xfId="0" applyFont="1" applyFill="1" applyBorder="1" applyAlignment="1">
      <alignment horizontal="left" vertical="center"/>
    </xf>
    <xf numFmtId="0" fontId="15" fillId="2" borderId="31" xfId="2" applyFont="1" applyFill="1" applyBorder="1" applyAlignment="1">
      <alignment horizontal="left" vertical="center"/>
    </xf>
    <xf numFmtId="0" fontId="12" fillId="0" borderId="33" xfId="2" applyFont="1" applyBorder="1" applyAlignment="1">
      <alignment horizontal="left" vertical="center"/>
    </xf>
    <xf numFmtId="0" fontId="10" fillId="2" borderId="25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165" fontId="20" fillId="2" borderId="24" xfId="0" applyNumberFormat="1" applyFont="1" applyFill="1" applyBorder="1" applyAlignment="1">
      <alignment horizontal="left" vertical="center"/>
    </xf>
    <xf numFmtId="0" fontId="19" fillId="2" borderId="39" xfId="0" applyFont="1" applyFill="1" applyBorder="1" applyAlignment="1">
      <alignment horizontal="left" vertical="center"/>
    </xf>
    <xf numFmtId="0" fontId="19" fillId="2" borderId="40" xfId="0" applyFont="1" applyFill="1" applyBorder="1" applyAlignment="1">
      <alignment horizontal="left" vertical="center"/>
    </xf>
    <xf numFmtId="46" fontId="19" fillId="2" borderId="41" xfId="0" applyNumberFormat="1" applyFont="1" applyFill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 wrapText="1"/>
    </xf>
    <xf numFmtId="0" fontId="10" fillId="4" borderId="37" xfId="0" applyFont="1" applyFill="1" applyBorder="1" applyAlignment="1">
      <alignment horizontal="left" vertical="center"/>
    </xf>
    <xf numFmtId="0" fontId="10" fillId="4" borderId="32" xfId="0" applyFont="1" applyFill="1" applyBorder="1" applyAlignment="1">
      <alignment horizontal="left" vertical="center"/>
    </xf>
    <xf numFmtId="165" fontId="3" fillId="4" borderId="38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39" xfId="0" applyFont="1" applyBorder="1"/>
    <xf numFmtId="0" fontId="7" fillId="2" borderId="44" xfId="0" applyFont="1" applyFill="1" applyBorder="1" applyAlignment="1">
      <alignment horizontal="left"/>
    </xf>
    <xf numFmtId="0" fontId="7" fillId="2" borderId="45" xfId="0" applyFont="1" applyFill="1" applyBorder="1" applyAlignment="1">
      <alignment horizontal="left"/>
    </xf>
    <xf numFmtId="0" fontId="7" fillId="2" borderId="49" xfId="0" applyFont="1" applyFill="1" applyBorder="1" applyAlignment="1">
      <alignment horizontal="left"/>
    </xf>
    <xf numFmtId="0" fontId="7" fillId="2" borderId="52" xfId="0" applyFont="1" applyFill="1" applyBorder="1" applyAlignment="1">
      <alignment horizontal="left"/>
    </xf>
    <xf numFmtId="165" fontId="7" fillId="2" borderId="53" xfId="0" applyNumberFormat="1" applyFont="1" applyFill="1" applyBorder="1" applyAlignment="1">
      <alignment horizontal="left"/>
    </xf>
    <xf numFmtId="0" fontId="7" fillId="5" borderId="54" xfId="0" applyFont="1" applyFill="1" applyBorder="1" applyAlignment="1">
      <alignment horizontal="left"/>
    </xf>
    <xf numFmtId="165" fontId="7" fillId="2" borderId="55" xfId="0" applyNumberFormat="1" applyFont="1" applyFill="1" applyBorder="1" applyAlignment="1">
      <alignment horizontal="left"/>
    </xf>
    <xf numFmtId="0" fontId="7" fillId="2" borderId="54" xfId="0" applyFont="1" applyFill="1" applyBorder="1" applyAlignment="1">
      <alignment horizontal="left"/>
    </xf>
    <xf numFmtId="0" fontId="7" fillId="2" borderId="56" xfId="0" applyFont="1" applyFill="1" applyBorder="1" applyAlignment="1">
      <alignment horizontal="left"/>
    </xf>
    <xf numFmtId="165" fontId="7" fillId="2" borderId="38" xfId="0" applyNumberFormat="1" applyFont="1" applyFill="1" applyBorder="1" applyAlignment="1">
      <alignment horizontal="left"/>
    </xf>
    <xf numFmtId="0" fontId="19" fillId="2" borderId="50" xfId="0" applyFont="1" applyFill="1" applyBorder="1" applyAlignment="1">
      <alignment horizontal="center" vertical="center"/>
    </xf>
    <xf numFmtId="0" fontId="19" fillId="2" borderId="51" xfId="0" applyFont="1" applyFill="1" applyBorder="1" applyAlignment="1">
      <alignment horizontal="center" vertical="center"/>
    </xf>
    <xf numFmtId="0" fontId="19" fillId="2" borderId="41" xfId="0" applyFont="1" applyFill="1" applyBorder="1" applyAlignment="1">
      <alignment horizontal="center" vertical="center"/>
    </xf>
    <xf numFmtId="165" fontId="21" fillId="0" borderId="43" xfId="0" applyNumberFormat="1" applyFont="1" applyBorder="1" applyAlignment="1">
      <alignment horizontal="left"/>
    </xf>
    <xf numFmtId="0" fontId="7" fillId="2" borderId="49" xfId="2" applyFont="1" applyFill="1" applyBorder="1"/>
    <xf numFmtId="0" fontId="7" fillId="5" borderId="44" xfId="0" applyFont="1" applyFill="1" applyBorder="1" applyAlignment="1">
      <alignment horizontal="left"/>
    </xf>
    <xf numFmtId="0" fontId="7" fillId="5" borderId="44" xfId="2" applyFont="1" applyFill="1" applyBorder="1"/>
    <xf numFmtId="165" fontId="7" fillId="5" borderId="55" xfId="0" applyNumberFormat="1" applyFont="1" applyFill="1" applyBorder="1" applyAlignment="1">
      <alignment horizontal="left"/>
    </xf>
    <xf numFmtId="0" fontId="7" fillId="2" borderId="44" xfId="2" applyFont="1" applyFill="1" applyBorder="1"/>
    <xf numFmtId="0" fontId="7" fillId="2" borderId="45" xfId="2" applyFont="1" applyFill="1" applyBorder="1"/>
    <xf numFmtId="0" fontId="18" fillId="0" borderId="57" xfId="0" applyFont="1" applyBorder="1" applyAlignment="1">
      <alignment horizontal="center" vertical="center"/>
    </xf>
    <xf numFmtId="0" fontId="18" fillId="0" borderId="58" xfId="0" applyFont="1" applyBorder="1" applyAlignment="1">
      <alignment horizontal="left" vertical="center"/>
    </xf>
    <xf numFmtId="0" fontId="18" fillId="0" borderId="58" xfId="0" applyFont="1" applyBorder="1" applyAlignment="1">
      <alignment horizontal="center" vertical="center"/>
    </xf>
    <xf numFmtId="0" fontId="18" fillId="0" borderId="59" xfId="0" applyFont="1" applyBorder="1" applyAlignment="1">
      <alignment horizontal="center" vertical="center"/>
    </xf>
    <xf numFmtId="0" fontId="18" fillId="0" borderId="64" xfId="0" applyFont="1" applyBorder="1" applyAlignment="1">
      <alignment horizontal="center" vertical="center"/>
    </xf>
    <xf numFmtId="0" fontId="18" fillId="0" borderId="65" xfId="0" applyFont="1" applyBorder="1" applyAlignment="1">
      <alignment horizontal="center" vertical="center"/>
    </xf>
    <xf numFmtId="0" fontId="7" fillId="2" borderId="27" xfId="0" applyFont="1" applyFill="1" applyBorder="1" applyAlignment="1">
      <alignment horizontal="left" vertical="center"/>
    </xf>
    <xf numFmtId="0" fontId="7" fillId="2" borderId="28" xfId="0" applyFont="1" applyFill="1" applyBorder="1" applyAlignment="1">
      <alignment horizontal="left" vertical="center"/>
    </xf>
    <xf numFmtId="0" fontId="24" fillId="2" borderId="28" xfId="0" applyFont="1" applyFill="1" applyBorder="1" applyAlignment="1">
      <alignment horizontal="left" vertical="center"/>
    </xf>
    <xf numFmtId="0" fontId="24" fillId="2" borderId="29" xfId="0" applyFont="1" applyFill="1" applyBorder="1" applyAlignment="1">
      <alignment horizontal="left" vertical="center"/>
    </xf>
    <xf numFmtId="165" fontId="7" fillId="2" borderId="30" xfId="0" applyNumberFormat="1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25" xfId="0" applyFont="1" applyFill="1" applyBorder="1" applyAlignment="1">
      <alignment horizontal="left" vertical="center"/>
    </xf>
    <xf numFmtId="0" fontId="24" fillId="2" borderId="31" xfId="0" applyFont="1" applyFill="1" applyBorder="1" applyAlignment="1">
      <alignment horizontal="left" vertical="center"/>
    </xf>
    <xf numFmtId="0" fontId="24" fillId="2" borderId="32" xfId="0" applyFont="1" applyFill="1" applyBorder="1" applyAlignment="1">
      <alignment horizontal="left" vertical="center"/>
    </xf>
    <xf numFmtId="165" fontId="7" fillId="2" borderId="24" xfId="0" applyNumberFormat="1" applyFont="1" applyFill="1" applyBorder="1" applyAlignment="1">
      <alignment horizontal="left" vertical="center"/>
    </xf>
    <xf numFmtId="0" fontId="24" fillId="2" borderId="31" xfId="2" applyFont="1" applyFill="1" applyBorder="1" applyAlignment="1">
      <alignment horizontal="left" vertical="center"/>
    </xf>
    <xf numFmtId="0" fontId="24" fillId="0" borderId="33" xfId="2" applyFont="1" applyBorder="1" applyAlignment="1">
      <alignment horizontal="left" vertical="center"/>
    </xf>
    <xf numFmtId="0" fontId="24" fillId="2" borderId="25" xfId="0" applyFont="1" applyFill="1" applyBorder="1" applyAlignment="1">
      <alignment horizontal="left" vertical="center"/>
    </xf>
    <xf numFmtId="0" fontId="24" fillId="2" borderId="34" xfId="0" applyFont="1" applyFill="1" applyBorder="1" applyAlignment="1">
      <alignment horizontal="left" vertical="center"/>
    </xf>
    <xf numFmtId="0" fontId="7" fillId="2" borderId="35" xfId="0" applyFont="1" applyFill="1" applyBorder="1" applyAlignment="1">
      <alignment horizontal="left" vertical="center" wrapText="1"/>
    </xf>
    <xf numFmtId="0" fontId="7" fillId="2" borderId="35" xfId="0" applyFont="1" applyFill="1" applyBorder="1" applyAlignment="1">
      <alignment horizontal="left" vertical="center"/>
    </xf>
    <xf numFmtId="165" fontId="25" fillId="2" borderId="24" xfId="0" applyNumberFormat="1" applyFont="1" applyFill="1" applyBorder="1" applyAlignment="1">
      <alignment horizontal="left" vertical="center"/>
    </xf>
    <xf numFmtId="0" fontId="7" fillId="0" borderId="36" xfId="0" applyFont="1" applyBorder="1" applyAlignment="1">
      <alignment horizontal="left" vertical="center" wrapText="1"/>
    </xf>
    <xf numFmtId="0" fontId="24" fillId="0" borderId="37" xfId="0" applyFont="1" applyBorder="1" applyAlignment="1">
      <alignment horizontal="left" vertical="center"/>
    </xf>
    <xf numFmtId="0" fontId="24" fillId="0" borderId="32" xfId="0" applyFont="1" applyBorder="1" applyAlignment="1">
      <alignment horizontal="left" vertical="center"/>
    </xf>
    <xf numFmtId="165" fontId="7" fillId="0" borderId="38" xfId="0" applyNumberFormat="1" applyFont="1" applyBorder="1" applyAlignment="1">
      <alignment horizontal="left" vertical="center" wrapText="1"/>
    </xf>
    <xf numFmtId="0" fontId="3" fillId="2" borderId="44" xfId="0" applyFont="1" applyFill="1" applyBorder="1" applyAlignment="1">
      <alignment horizontal="left" vertical="center"/>
    </xf>
    <xf numFmtId="0" fontId="12" fillId="2" borderId="44" xfId="2" applyFont="1" applyFill="1" applyBorder="1" applyAlignment="1">
      <alignment horizontal="center" vertical="center"/>
    </xf>
    <xf numFmtId="165" fontId="3" fillId="2" borderId="44" xfId="0" applyNumberFormat="1" applyFont="1" applyFill="1" applyBorder="1" applyAlignment="1">
      <alignment horizontal="center" vertical="center"/>
    </xf>
    <xf numFmtId="0" fontId="3" fillId="2" borderId="44" xfId="0" applyFont="1" applyFill="1" applyBorder="1" applyAlignment="1">
      <alignment horizontal="center" vertical="center"/>
    </xf>
    <xf numFmtId="0" fontId="0" fillId="2" borderId="44" xfId="0" applyFill="1" applyBorder="1"/>
    <xf numFmtId="0" fontId="0" fillId="0" borderId="44" xfId="0" applyBorder="1"/>
    <xf numFmtId="0" fontId="3" fillId="5" borderId="44" xfId="0" applyFont="1" applyFill="1" applyBorder="1" applyAlignment="1">
      <alignment horizontal="left" vertical="center"/>
    </xf>
    <xf numFmtId="0" fontId="10" fillId="5" borderId="44" xfId="0" applyFont="1" applyFill="1" applyBorder="1" applyAlignment="1">
      <alignment horizontal="center" vertical="center"/>
    </xf>
    <xf numFmtId="165" fontId="3" fillId="5" borderId="44" xfId="0" applyNumberFormat="1" applyFont="1" applyFill="1" applyBorder="1" applyAlignment="1">
      <alignment horizontal="center" vertical="center"/>
    </xf>
    <xf numFmtId="0" fontId="3" fillId="5" borderId="44" xfId="0" applyFont="1" applyFill="1" applyBorder="1" applyAlignment="1">
      <alignment horizontal="center" vertical="center"/>
    </xf>
    <xf numFmtId="0" fontId="0" fillId="5" borderId="44" xfId="0" applyFill="1" applyBorder="1"/>
    <xf numFmtId="0" fontId="15" fillId="2" borderId="44" xfId="2" applyFont="1" applyFill="1" applyBorder="1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12" fillId="5" borderId="44" xfId="2" applyFont="1" applyFill="1" applyBorder="1" applyAlignment="1">
      <alignment horizontal="center" vertical="center"/>
    </xf>
    <xf numFmtId="0" fontId="9" fillId="5" borderId="44" xfId="0" applyFont="1" applyFill="1" applyBorder="1" applyAlignment="1">
      <alignment horizontal="center" vertical="center"/>
    </xf>
    <xf numFmtId="0" fontId="9" fillId="2" borderId="44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left" vertical="center"/>
    </xf>
    <xf numFmtId="0" fontId="12" fillId="2" borderId="49" xfId="2" applyFont="1" applyFill="1" applyBorder="1" applyAlignment="1">
      <alignment horizontal="center" vertical="center"/>
    </xf>
    <xf numFmtId="165" fontId="3" fillId="2" borderId="49" xfId="0" applyNumberFormat="1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0" fillId="2" borderId="49" xfId="0" applyFill="1" applyBorder="1"/>
    <xf numFmtId="0" fontId="0" fillId="0" borderId="49" xfId="0" applyBorder="1"/>
    <xf numFmtId="0" fontId="4" fillId="2" borderId="39" xfId="0" applyFont="1" applyFill="1" applyBorder="1" applyAlignment="1">
      <alignment horizontal="left" vertical="center"/>
    </xf>
    <xf numFmtId="0" fontId="0" fillId="2" borderId="42" xfId="0" applyFill="1" applyBorder="1"/>
    <xf numFmtId="0" fontId="0" fillId="2" borderId="42" xfId="0" applyFill="1" applyBorder="1" applyAlignment="1">
      <alignment horizontal="left"/>
    </xf>
    <xf numFmtId="0" fontId="0" fillId="0" borderId="42" xfId="0" applyBorder="1"/>
    <xf numFmtId="0" fontId="2" fillId="2" borderId="71" xfId="0" applyFont="1" applyFill="1" applyBorder="1" applyAlignment="1">
      <alignment horizontal="center" vertical="center" wrapText="1"/>
    </xf>
    <xf numFmtId="0" fontId="2" fillId="2" borderId="72" xfId="0" applyFont="1" applyFill="1" applyBorder="1" applyAlignment="1">
      <alignment horizontal="center" vertical="center" wrapText="1"/>
    </xf>
    <xf numFmtId="0" fontId="2" fillId="0" borderId="72" xfId="0" applyFont="1" applyBorder="1" applyAlignment="1">
      <alignment horizontal="center" vertical="center" wrapText="1"/>
    </xf>
    <xf numFmtId="0" fontId="11" fillId="2" borderId="72" xfId="2" applyFont="1" applyFill="1" applyBorder="1" applyAlignment="1">
      <alignment horizontal="center" vertical="center" wrapText="1"/>
    </xf>
    <xf numFmtId="0" fontId="11" fillId="2" borderId="72" xfId="0" applyFont="1" applyFill="1" applyBorder="1" applyAlignment="1">
      <alignment horizontal="center" vertical="center" wrapText="1"/>
    </xf>
    <xf numFmtId="0" fontId="0" fillId="0" borderId="72" xfId="0" applyBorder="1" applyAlignment="1">
      <alignment horizontal="center" wrapText="1"/>
    </xf>
    <xf numFmtId="0" fontId="23" fillId="2" borderId="63" xfId="0" applyFont="1" applyFill="1" applyBorder="1" applyAlignment="1">
      <alignment horizontal="center" vertical="center"/>
    </xf>
    <xf numFmtId="0" fontId="0" fillId="2" borderId="61" xfId="0" applyFill="1" applyBorder="1"/>
    <xf numFmtId="0" fontId="0" fillId="2" borderId="62" xfId="0" applyFill="1" applyBorder="1"/>
    <xf numFmtId="0" fontId="19" fillId="2" borderId="63" xfId="0" applyFont="1" applyFill="1" applyBorder="1" applyAlignment="1">
      <alignment horizontal="center" vertical="center"/>
    </xf>
    <xf numFmtId="0" fontId="17" fillId="2" borderId="61" xfId="0" applyFont="1" applyFill="1" applyBorder="1" applyAlignment="1">
      <alignment horizontal="center" vertical="center"/>
    </xf>
    <xf numFmtId="0" fontId="17" fillId="2" borderId="62" xfId="0" applyFont="1" applyFill="1" applyBorder="1" applyAlignment="1">
      <alignment horizontal="center" vertical="center"/>
    </xf>
    <xf numFmtId="0" fontId="21" fillId="3" borderId="22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21" fillId="3" borderId="23" xfId="0" applyFont="1" applyFill="1" applyBorder="1" applyAlignment="1">
      <alignment horizontal="center" vertical="center"/>
    </xf>
    <xf numFmtId="0" fontId="19" fillId="2" borderId="46" xfId="0" applyFont="1" applyFill="1" applyBorder="1" applyAlignment="1">
      <alignment horizontal="center" vertical="center"/>
    </xf>
    <xf numFmtId="0" fontId="19" fillId="2" borderId="47" xfId="0" applyFont="1" applyFill="1" applyBorder="1" applyAlignment="1">
      <alignment horizontal="center" vertical="center"/>
    </xf>
    <xf numFmtId="0" fontId="19" fillId="2" borderId="48" xfId="0" applyFont="1" applyFill="1" applyBorder="1" applyAlignment="1">
      <alignment horizontal="center" vertical="center"/>
    </xf>
    <xf numFmtId="0" fontId="21" fillId="0" borderId="42" xfId="0" applyFont="1" applyBorder="1" applyAlignment="1">
      <alignment horizontal="center"/>
    </xf>
    <xf numFmtId="0" fontId="23" fillId="0" borderId="39" xfId="0" applyFont="1" applyBorder="1" applyAlignment="1">
      <alignment horizontal="center"/>
    </xf>
    <xf numFmtId="0" fontId="22" fillId="0" borderId="42" xfId="0" applyFont="1" applyBorder="1" applyAlignment="1">
      <alignment horizontal="center"/>
    </xf>
    <xf numFmtId="0" fontId="22" fillId="0" borderId="43" xfId="0" applyFont="1" applyBorder="1" applyAlignment="1">
      <alignment horizontal="center"/>
    </xf>
    <xf numFmtId="0" fontId="17" fillId="2" borderId="19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17" fillId="2" borderId="21" xfId="0" applyFont="1" applyFill="1" applyBorder="1" applyAlignment="1">
      <alignment horizontal="center" vertical="center"/>
    </xf>
    <xf numFmtId="0" fontId="19" fillId="3" borderId="22" xfId="0" applyFont="1" applyFill="1" applyBorder="1" applyAlignment="1">
      <alignment horizontal="center" vertical="center"/>
    </xf>
    <xf numFmtId="0" fontId="19" fillId="3" borderId="7" xfId="0" applyFont="1" applyFill="1" applyBorder="1" applyAlignment="1">
      <alignment horizontal="center" vertical="center"/>
    </xf>
    <xf numFmtId="0" fontId="19" fillId="3" borderId="23" xfId="0" applyFont="1" applyFill="1" applyBorder="1" applyAlignment="1">
      <alignment horizontal="center" vertical="center"/>
    </xf>
    <xf numFmtId="0" fontId="19" fillId="2" borderId="68" xfId="0" applyFont="1" applyFill="1" applyBorder="1" applyAlignment="1">
      <alignment horizontal="center" vertical="center"/>
    </xf>
    <xf numFmtId="0" fontId="17" fillId="2" borderId="60" xfId="0" applyFont="1" applyFill="1" applyBorder="1" applyAlignment="1">
      <alignment horizontal="center" vertical="center"/>
    </xf>
    <xf numFmtId="0" fontId="17" fillId="2" borderId="70" xfId="0" applyFont="1" applyFill="1" applyBorder="1" applyAlignment="1">
      <alignment horizontal="center" vertical="center"/>
    </xf>
    <xf numFmtId="0" fontId="23" fillId="2" borderId="67" xfId="0" applyFont="1" applyFill="1" applyBorder="1" applyAlignment="1">
      <alignment horizontal="center" vertical="center"/>
    </xf>
    <xf numFmtId="0" fontId="0" fillId="2" borderId="66" xfId="0" applyFill="1" applyBorder="1"/>
    <xf numFmtId="0" fontId="0" fillId="2" borderId="69" xfId="0" applyFill="1" applyBorder="1"/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V3" activePane="bottomRight" state="frozen"/>
      <selection pane="topRight" activeCell="B1" sqref="B1"/>
      <selection pane="bottomLeft" activeCell="A3" sqref="A3"/>
      <selection pane="bottomRight" activeCell="AD2" sqref="AD2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13" width="15.83203125" bestFit="1" customWidth="1"/>
    <col min="14" max="15" width="16" customWidth="1"/>
    <col min="16" max="16" width="18.6640625" bestFit="1" customWidth="1"/>
    <col min="17" max="17" width="16" customWidth="1"/>
    <col min="18" max="18" width="15.83203125" bestFit="1" customWidth="1"/>
    <col min="19" max="21" width="16" customWidth="1"/>
    <col min="22" max="22" width="21.5" bestFit="1" customWidth="1"/>
    <col min="23" max="23" width="16" customWidth="1"/>
    <col min="24" max="24" width="18.6640625" bestFit="1" customWidth="1"/>
    <col min="25" max="25" width="17.33203125" bestFit="1" customWidth="1"/>
    <col min="26" max="26" width="22.83203125" bestFit="1" customWidth="1"/>
    <col min="27" max="29" width="15.83203125" bestFit="1" customWidth="1"/>
    <col min="30" max="30" width="18.6640625" bestFit="1" customWidth="1"/>
  </cols>
  <sheetData>
    <row r="1" spans="1:30" s="167" customFormat="1" ht="28" customHeight="1" thickBo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6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  <c r="AA1" s="165"/>
      <c r="AB1" s="165"/>
      <c r="AC1" s="165"/>
      <c r="AD1" s="165"/>
    </row>
    <row r="2" spans="1:30" s="173" customFormat="1" ht="56" customHeight="1" thickBot="1">
      <c r="A2" s="168" t="s">
        <v>1</v>
      </c>
      <c r="B2" s="169" t="s">
        <v>2</v>
      </c>
      <c r="C2" s="169" t="s">
        <v>3</v>
      </c>
      <c r="D2" s="169" t="s">
        <v>4</v>
      </c>
      <c r="E2" s="169" t="s">
        <v>5</v>
      </c>
      <c r="F2" s="169" t="s">
        <v>6</v>
      </c>
      <c r="G2" s="169" t="s">
        <v>7</v>
      </c>
      <c r="H2" s="169" t="s">
        <v>8</v>
      </c>
      <c r="I2" s="169" t="s">
        <v>9</v>
      </c>
      <c r="J2" s="169" t="s">
        <v>10</v>
      </c>
      <c r="K2" s="169" t="s">
        <v>11</v>
      </c>
      <c r="L2" s="170" t="s">
        <v>254</v>
      </c>
      <c r="M2" s="171" t="s">
        <v>27</v>
      </c>
      <c r="N2" s="171" t="s">
        <v>26</v>
      </c>
      <c r="O2" s="172" t="s">
        <v>25</v>
      </c>
      <c r="P2" s="172" t="s">
        <v>24</v>
      </c>
      <c r="Q2" s="172" t="s">
        <v>23</v>
      </c>
      <c r="R2" s="172" t="s">
        <v>22</v>
      </c>
      <c r="S2" s="172" t="s">
        <v>21</v>
      </c>
      <c r="T2" s="172" t="s">
        <v>20</v>
      </c>
      <c r="U2" s="172" t="s">
        <v>19</v>
      </c>
      <c r="V2" s="172" t="s">
        <v>18</v>
      </c>
      <c r="W2" s="172" t="s">
        <v>17</v>
      </c>
      <c r="X2" s="172" t="s">
        <v>16</v>
      </c>
      <c r="Y2" s="172" t="s">
        <v>15</v>
      </c>
      <c r="Z2" s="172" t="s">
        <v>14</v>
      </c>
      <c r="AA2" s="172" t="s">
        <v>13</v>
      </c>
      <c r="AB2" s="172" t="s">
        <v>12</v>
      </c>
      <c r="AC2" s="172" t="s">
        <v>250</v>
      </c>
      <c r="AD2" s="172" t="s">
        <v>257</v>
      </c>
    </row>
    <row r="3" spans="1:30" s="163" customFormat="1" ht="22" customHeight="1">
      <c r="A3" s="158" t="s">
        <v>28</v>
      </c>
      <c r="B3" s="159" t="s">
        <v>2</v>
      </c>
      <c r="C3" s="159" t="s">
        <v>3</v>
      </c>
      <c r="D3" s="158" t="s">
        <v>29</v>
      </c>
      <c r="E3" s="158" t="s">
        <v>30</v>
      </c>
      <c r="F3" s="160">
        <v>2.7662037037037039E-3</v>
      </c>
      <c r="G3" s="158" t="s">
        <v>31</v>
      </c>
      <c r="H3" s="158"/>
      <c r="I3" s="158" t="s">
        <v>32</v>
      </c>
      <c r="J3" s="158" t="s">
        <v>33</v>
      </c>
      <c r="K3" s="158"/>
      <c r="L3" s="161">
        <f>COUNTIF(M3:AW3,"✓")</f>
        <v>2</v>
      </c>
      <c r="M3" s="161"/>
      <c r="N3" s="161"/>
      <c r="O3" s="162"/>
      <c r="P3" s="158"/>
      <c r="Q3" s="158"/>
      <c r="R3" s="158"/>
      <c r="S3" s="158"/>
      <c r="T3" s="158"/>
      <c r="U3" s="158"/>
      <c r="V3" s="158" t="s">
        <v>32</v>
      </c>
      <c r="W3" s="158" t="s">
        <v>32</v>
      </c>
      <c r="X3" s="158"/>
      <c r="Y3" s="158"/>
      <c r="Z3" s="158"/>
      <c r="AA3" s="158"/>
      <c r="AB3" s="158"/>
      <c r="AC3" s="158"/>
      <c r="AD3" s="158"/>
    </row>
    <row r="4" spans="1:30" s="147" customFormat="1" ht="22" customHeight="1">
      <c r="A4" s="148" t="s">
        <v>34</v>
      </c>
      <c r="B4" s="149" t="s">
        <v>2</v>
      </c>
      <c r="C4" s="149" t="s">
        <v>3</v>
      </c>
      <c r="D4" s="148" t="s">
        <v>35</v>
      </c>
      <c r="E4" s="148" t="s">
        <v>30</v>
      </c>
      <c r="F4" s="150">
        <v>3.9583333333333337E-3</v>
      </c>
      <c r="G4" s="148" t="s">
        <v>36</v>
      </c>
      <c r="H4" s="148"/>
      <c r="I4" s="148"/>
      <c r="J4" s="148" t="s">
        <v>37</v>
      </c>
      <c r="K4" s="148"/>
      <c r="L4" s="161">
        <f t="shared" ref="L4:L48" si="0">COUNTIF(M4:AW4,"✓")</f>
        <v>3</v>
      </c>
      <c r="M4" s="151"/>
      <c r="N4" s="151"/>
      <c r="O4" s="152"/>
      <c r="P4" s="148"/>
      <c r="Q4" s="148" t="s">
        <v>32</v>
      </c>
      <c r="R4" s="148" t="s">
        <v>32</v>
      </c>
      <c r="S4" s="148"/>
      <c r="T4" s="148"/>
      <c r="U4" s="148"/>
      <c r="V4" s="148" t="s">
        <v>32</v>
      </c>
      <c r="W4" s="148"/>
      <c r="X4" s="148"/>
      <c r="Y4" s="148"/>
      <c r="Z4" s="148"/>
      <c r="AA4" s="148"/>
      <c r="AB4" s="148"/>
      <c r="AC4" s="148"/>
      <c r="AD4" s="148"/>
    </row>
    <row r="5" spans="1:30" s="147" customFormat="1" ht="22" customHeight="1">
      <c r="A5" s="142" t="s">
        <v>245</v>
      </c>
      <c r="B5" s="153" t="s">
        <v>2</v>
      </c>
      <c r="C5" s="143" t="s">
        <v>3</v>
      </c>
      <c r="D5" s="142" t="s">
        <v>38</v>
      </c>
      <c r="E5" s="142" t="s">
        <v>30</v>
      </c>
      <c r="F5" s="144">
        <v>2.5810185185185185E-3</v>
      </c>
      <c r="G5" s="142" t="s">
        <v>39</v>
      </c>
      <c r="H5" s="142"/>
      <c r="I5" s="142" t="s">
        <v>32</v>
      </c>
      <c r="J5" s="142" t="s">
        <v>40</v>
      </c>
      <c r="K5" s="142"/>
      <c r="L5" s="161">
        <f t="shared" si="0"/>
        <v>10</v>
      </c>
      <c r="M5" s="145"/>
      <c r="N5" s="145"/>
      <c r="O5" s="142" t="s">
        <v>32</v>
      </c>
      <c r="P5" s="142"/>
      <c r="Q5" s="142" t="s">
        <v>32</v>
      </c>
      <c r="R5" s="142" t="s">
        <v>32</v>
      </c>
      <c r="S5" s="142"/>
      <c r="T5" s="142" t="s">
        <v>32</v>
      </c>
      <c r="U5" s="142"/>
      <c r="V5" s="142" t="s">
        <v>32</v>
      </c>
      <c r="W5" s="142"/>
      <c r="X5" s="142"/>
      <c r="Y5" s="142" t="s">
        <v>32</v>
      </c>
      <c r="Z5" s="142"/>
      <c r="AA5" s="142" t="s">
        <v>32</v>
      </c>
      <c r="AB5" s="142" t="s">
        <v>32</v>
      </c>
      <c r="AC5" s="142" t="s">
        <v>32</v>
      </c>
      <c r="AD5" s="142" t="s">
        <v>32</v>
      </c>
    </row>
    <row r="6" spans="1:30" s="147" customFormat="1" ht="22" customHeight="1">
      <c r="A6" s="148" t="s">
        <v>41</v>
      </c>
      <c r="B6" s="149" t="s">
        <v>2</v>
      </c>
      <c r="C6" s="149" t="s">
        <v>3</v>
      </c>
      <c r="D6" s="148" t="s">
        <v>42</v>
      </c>
      <c r="E6" s="148" t="s">
        <v>30</v>
      </c>
      <c r="F6" s="150">
        <v>2.7199074074074074E-3</v>
      </c>
      <c r="G6" s="148" t="s">
        <v>39</v>
      </c>
      <c r="H6" s="148"/>
      <c r="I6" s="148" t="s">
        <v>32</v>
      </c>
      <c r="J6" s="148" t="s">
        <v>43</v>
      </c>
      <c r="K6" s="148"/>
      <c r="L6" s="161">
        <f t="shared" si="0"/>
        <v>4</v>
      </c>
      <c r="M6" s="151"/>
      <c r="N6" s="151"/>
      <c r="O6" s="152"/>
      <c r="P6" s="148"/>
      <c r="Q6" s="148"/>
      <c r="R6" s="148"/>
      <c r="S6" s="148"/>
      <c r="T6" s="148"/>
      <c r="U6" s="148"/>
      <c r="V6" s="148" t="s">
        <v>32</v>
      </c>
      <c r="W6" s="148"/>
      <c r="X6" s="148" t="s">
        <v>32</v>
      </c>
      <c r="Y6" s="148" t="s">
        <v>32</v>
      </c>
      <c r="Z6" s="148"/>
      <c r="AA6" s="148"/>
      <c r="AB6" s="148"/>
      <c r="AC6" s="148" t="s">
        <v>32</v>
      </c>
      <c r="AD6" s="148"/>
    </row>
    <row r="7" spans="1:30" s="147" customFormat="1" ht="22" customHeight="1">
      <c r="A7" s="142" t="s">
        <v>44</v>
      </c>
      <c r="B7" s="154" t="s">
        <v>2</v>
      </c>
      <c r="C7" s="154" t="s">
        <v>3</v>
      </c>
      <c r="D7" s="142" t="s">
        <v>45</v>
      </c>
      <c r="E7" s="142" t="s">
        <v>30</v>
      </c>
      <c r="F7" s="144">
        <v>3.414351851851852E-3</v>
      </c>
      <c r="G7" s="142" t="s">
        <v>31</v>
      </c>
      <c r="H7" s="142"/>
      <c r="I7" s="142" t="s">
        <v>32</v>
      </c>
      <c r="J7" s="142" t="s">
        <v>43</v>
      </c>
      <c r="K7" s="142"/>
      <c r="L7" s="161">
        <f t="shared" si="0"/>
        <v>6</v>
      </c>
      <c r="M7" s="145"/>
      <c r="N7" s="145"/>
      <c r="O7" s="142"/>
      <c r="P7" s="142"/>
      <c r="Q7" s="142"/>
      <c r="R7" s="142"/>
      <c r="S7" s="142"/>
      <c r="T7" s="142"/>
      <c r="U7" s="142"/>
      <c r="V7" s="142"/>
      <c r="W7" s="142"/>
      <c r="X7" s="142"/>
      <c r="Y7" s="142" t="s">
        <v>32</v>
      </c>
      <c r="Z7" s="142" t="s">
        <v>32</v>
      </c>
      <c r="AA7" s="142" t="s">
        <v>32</v>
      </c>
      <c r="AB7" s="142" t="s">
        <v>32</v>
      </c>
      <c r="AC7" s="142" t="s">
        <v>32</v>
      </c>
      <c r="AD7" s="142" t="s">
        <v>32</v>
      </c>
    </row>
    <row r="8" spans="1:30" s="147" customFormat="1" ht="22" customHeight="1">
      <c r="A8" s="148" t="s">
        <v>46</v>
      </c>
      <c r="B8" s="149" t="s">
        <v>2</v>
      </c>
      <c r="C8" s="149" t="s">
        <v>3</v>
      </c>
      <c r="D8" s="148" t="s">
        <v>47</v>
      </c>
      <c r="E8" s="148" t="s">
        <v>30</v>
      </c>
      <c r="F8" s="150">
        <v>1.7476851851851852E-3</v>
      </c>
      <c r="G8" s="148" t="s">
        <v>48</v>
      </c>
      <c r="H8" s="148" t="s">
        <v>32</v>
      </c>
      <c r="I8" s="148" t="s">
        <v>32</v>
      </c>
      <c r="J8" s="148" t="s">
        <v>43</v>
      </c>
      <c r="K8" s="148"/>
      <c r="L8" s="161">
        <f t="shared" si="0"/>
        <v>9</v>
      </c>
      <c r="M8" s="151" t="s">
        <v>32</v>
      </c>
      <c r="N8" s="151"/>
      <c r="O8" s="152" t="s">
        <v>32</v>
      </c>
      <c r="P8" s="148"/>
      <c r="Q8" s="148" t="s">
        <v>32</v>
      </c>
      <c r="R8" s="148" t="s">
        <v>32</v>
      </c>
      <c r="S8" s="148" t="s">
        <v>32</v>
      </c>
      <c r="T8" s="148" t="s">
        <v>32</v>
      </c>
      <c r="U8" s="148" t="s">
        <v>32</v>
      </c>
      <c r="V8" s="148" t="s">
        <v>32</v>
      </c>
      <c r="W8" s="148"/>
      <c r="X8" s="148"/>
      <c r="Y8" s="148" t="s">
        <v>32</v>
      </c>
      <c r="Z8" s="148"/>
      <c r="AA8" s="148"/>
      <c r="AB8" s="148"/>
      <c r="AC8" s="148"/>
      <c r="AD8" s="148"/>
    </row>
    <row r="9" spans="1:30" s="147" customFormat="1" ht="22" customHeight="1">
      <c r="A9" s="142" t="s">
        <v>49</v>
      </c>
      <c r="B9" s="154" t="s">
        <v>2</v>
      </c>
      <c r="C9" s="154" t="s">
        <v>3</v>
      </c>
      <c r="D9" s="142" t="s">
        <v>42</v>
      </c>
      <c r="E9" s="142" t="s">
        <v>30</v>
      </c>
      <c r="F9" s="144">
        <v>2.1875000000000002E-3</v>
      </c>
      <c r="G9" s="142" t="s">
        <v>31</v>
      </c>
      <c r="H9" s="142"/>
      <c r="I9" s="142" t="s">
        <v>32</v>
      </c>
      <c r="J9" s="142" t="s">
        <v>43</v>
      </c>
      <c r="K9" s="142"/>
      <c r="L9" s="161">
        <f t="shared" si="0"/>
        <v>18</v>
      </c>
      <c r="M9" s="145" t="s">
        <v>32</v>
      </c>
      <c r="N9" s="145" t="s">
        <v>32</v>
      </c>
      <c r="O9" s="142" t="s">
        <v>32</v>
      </c>
      <c r="P9" s="142" t="s">
        <v>32</v>
      </c>
      <c r="Q9" s="142" t="s">
        <v>32</v>
      </c>
      <c r="R9" s="142" t="s">
        <v>32</v>
      </c>
      <c r="S9" s="142" t="s">
        <v>32</v>
      </c>
      <c r="T9" s="142" t="s">
        <v>32</v>
      </c>
      <c r="U9" s="142" t="s">
        <v>32</v>
      </c>
      <c r="V9" s="142" t="s">
        <v>32</v>
      </c>
      <c r="W9" s="142" t="s">
        <v>32</v>
      </c>
      <c r="X9" s="142" t="s">
        <v>32</v>
      </c>
      <c r="Y9" s="142" t="s">
        <v>32</v>
      </c>
      <c r="Z9" s="142" t="s">
        <v>32</v>
      </c>
      <c r="AA9" s="142" t="s">
        <v>32</v>
      </c>
      <c r="AB9" s="142" t="s">
        <v>32</v>
      </c>
      <c r="AC9" s="142" t="s">
        <v>32</v>
      </c>
      <c r="AD9" s="142" t="s">
        <v>32</v>
      </c>
    </row>
    <row r="10" spans="1:30" s="147" customFormat="1" ht="22" customHeight="1">
      <c r="A10" s="148" t="s">
        <v>50</v>
      </c>
      <c r="B10" s="149" t="s">
        <v>2</v>
      </c>
      <c r="C10" s="149" t="s">
        <v>3</v>
      </c>
      <c r="D10" s="148" t="s">
        <v>51</v>
      </c>
      <c r="E10" s="148" t="s">
        <v>30</v>
      </c>
      <c r="F10" s="150">
        <v>3.3449074074074076E-3</v>
      </c>
      <c r="G10" s="148" t="s">
        <v>48</v>
      </c>
      <c r="H10" s="148" t="s">
        <v>32</v>
      </c>
      <c r="I10" s="148"/>
      <c r="J10" s="148" t="s">
        <v>37</v>
      </c>
      <c r="K10" s="148"/>
      <c r="L10" s="161">
        <f t="shared" si="0"/>
        <v>1</v>
      </c>
      <c r="M10" s="151"/>
      <c r="N10" s="151"/>
      <c r="O10" s="152"/>
      <c r="P10" s="148"/>
      <c r="Q10" s="148"/>
      <c r="R10" s="148" t="s">
        <v>32</v>
      </c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  <c r="AD10" s="148"/>
    </row>
    <row r="11" spans="1:30" s="147" customFormat="1" ht="22" customHeight="1">
      <c r="A11" s="142" t="s">
        <v>52</v>
      </c>
      <c r="B11" s="154" t="s">
        <v>2</v>
      </c>
      <c r="C11" s="154" t="s">
        <v>3</v>
      </c>
      <c r="D11" s="142" t="s">
        <v>53</v>
      </c>
      <c r="E11" s="142" t="s">
        <v>30</v>
      </c>
      <c r="F11" s="144">
        <v>5.5555555555555558E-3</v>
      </c>
      <c r="G11" s="142" t="s">
        <v>31</v>
      </c>
      <c r="H11" s="142"/>
      <c r="I11" s="142"/>
      <c r="J11" s="142" t="s">
        <v>33</v>
      </c>
      <c r="K11" s="142"/>
      <c r="L11" s="161">
        <f t="shared" si="0"/>
        <v>9</v>
      </c>
      <c r="M11" s="145" t="s">
        <v>32</v>
      </c>
      <c r="N11" s="145" t="s">
        <v>32</v>
      </c>
      <c r="O11" s="146" t="s">
        <v>32</v>
      </c>
      <c r="P11" s="142" t="s">
        <v>32</v>
      </c>
      <c r="Q11" s="142" t="s">
        <v>32</v>
      </c>
      <c r="R11" s="142" t="s">
        <v>32</v>
      </c>
      <c r="S11" s="142" t="s">
        <v>32</v>
      </c>
      <c r="T11" s="142"/>
      <c r="U11" s="142" t="s">
        <v>32</v>
      </c>
      <c r="V11" s="142" t="s">
        <v>32</v>
      </c>
      <c r="W11" s="142"/>
      <c r="X11" s="142"/>
      <c r="Y11" s="142"/>
      <c r="Z11" s="142"/>
      <c r="AA11" s="142"/>
      <c r="AB11" s="142"/>
      <c r="AC11" s="142"/>
      <c r="AD11" s="142"/>
    </row>
    <row r="12" spans="1:30" s="147" customFormat="1" ht="22" customHeight="1">
      <c r="A12" s="148" t="s">
        <v>54</v>
      </c>
      <c r="B12" s="149" t="s">
        <v>2</v>
      </c>
      <c r="C12" s="149" t="s">
        <v>3</v>
      </c>
      <c r="D12" s="148" t="s">
        <v>55</v>
      </c>
      <c r="E12" s="148" t="s">
        <v>30</v>
      </c>
      <c r="F12" s="150">
        <v>2.7430555555555554E-3</v>
      </c>
      <c r="G12" s="148" t="s">
        <v>39</v>
      </c>
      <c r="H12" s="148"/>
      <c r="I12" s="148" t="s">
        <v>32</v>
      </c>
      <c r="J12" s="148" t="s">
        <v>56</v>
      </c>
      <c r="K12" s="148"/>
      <c r="L12" s="161">
        <f t="shared" si="0"/>
        <v>7</v>
      </c>
      <c r="M12" s="151"/>
      <c r="N12" s="151"/>
      <c r="O12" s="148"/>
      <c r="P12" s="148"/>
      <c r="Q12" s="148"/>
      <c r="R12" s="148"/>
      <c r="S12" s="148"/>
      <c r="T12" s="148"/>
      <c r="U12" s="148"/>
      <c r="V12" s="148"/>
      <c r="W12" s="148"/>
      <c r="X12" s="148" t="s">
        <v>32</v>
      </c>
      <c r="Y12" s="148" t="s">
        <v>32</v>
      </c>
      <c r="Z12" s="148" t="s">
        <v>32</v>
      </c>
      <c r="AA12" s="148" t="s">
        <v>32</v>
      </c>
      <c r="AB12" s="148" t="s">
        <v>32</v>
      </c>
      <c r="AC12" s="148" t="s">
        <v>32</v>
      </c>
      <c r="AD12" s="148" t="s">
        <v>32</v>
      </c>
    </row>
    <row r="13" spans="1:30" s="147" customFormat="1" ht="22" customHeight="1">
      <c r="A13" s="142" t="s">
        <v>57</v>
      </c>
      <c r="B13" s="154" t="s">
        <v>2</v>
      </c>
      <c r="C13" s="154" t="s">
        <v>3</v>
      </c>
      <c r="D13" s="142" t="s">
        <v>58</v>
      </c>
      <c r="E13" s="142" t="s">
        <v>59</v>
      </c>
      <c r="F13" s="144">
        <v>2.3032407407407407E-3</v>
      </c>
      <c r="G13" s="142" t="s">
        <v>39</v>
      </c>
      <c r="H13" s="142"/>
      <c r="I13" s="142" t="s">
        <v>32</v>
      </c>
      <c r="J13" s="142" t="s">
        <v>60</v>
      </c>
      <c r="K13" s="142"/>
      <c r="L13" s="161">
        <f t="shared" si="0"/>
        <v>2</v>
      </c>
      <c r="M13" s="145"/>
      <c r="N13" s="145"/>
      <c r="O13" s="146"/>
      <c r="P13" s="142"/>
      <c r="Q13" s="142"/>
      <c r="R13" s="142"/>
      <c r="S13" s="142"/>
      <c r="T13" s="142"/>
      <c r="U13" s="142" t="s">
        <v>32</v>
      </c>
      <c r="V13" s="142" t="s">
        <v>32</v>
      </c>
      <c r="W13" s="142"/>
      <c r="X13" s="142"/>
      <c r="Y13" s="142"/>
      <c r="Z13" s="142"/>
      <c r="AA13" s="142"/>
      <c r="AB13" s="142"/>
      <c r="AC13" s="142"/>
      <c r="AD13" s="142"/>
    </row>
    <row r="14" spans="1:30" s="147" customFormat="1" ht="22" customHeight="1">
      <c r="A14" s="148" t="s">
        <v>61</v>
      </c>
      <c r="B14" s="155" t="s">
        <v>2</v>
      </c>
      <c r="C14" s="149" t="s">
        <v>3</v>
      </c>
      <c r="D14" s="148" t="s">
        <v>62</v>
      </c>
      <c r="E14" s="148" t="s">
        <v>30</v>
      </c>
      <c r="F14" s="150">
        <v>1.7708333333333332E-3</v>
      </c>
      <c r="G14" s="148" t="s">
        <v>31</v>
      </c>
      <c r="H14" s="148"/>
      <c r="I14" s="148"/>
      <c r="J14" s="148" t="s">
        <v>43</v>
      </c>
      <c r="K14" s="148"/>
      <c r="L14" s="161">
        <f t="shared" si="0"/>
        <v>1</v>
      </c>
      <c r="M14" s="151" t="s">
        <v>32</v>
      </c>
      <c r="N14" s="151"/>
      <c r="O14" s="152"/>
      <c r="P14" s="148"/>
      <c r="Q14" s="148"/>
      <c r="R14" s="148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  <c r="AD14" s="148"/>
    </row>
    <row r="15" spans="1:30" s="147" customFormat="1" ht="22" customHeight="1">
      <c r="A15" s="142" t="s">
        <v>63</v>
      </c>
      <c r="B15" s="154" t="s">
        <v>2</v>
      </c>
      <c r="C15" s="154" t="s">
        <v>3</v>
      </c>
      <c r="D15" s="142" t="s">
        <v>64</v>
      </c>
      <c r="E15" s="142" t="s">
        <v>30</v>
      </c>
      <c r="F15" s="144">
        <v>2.7893518518518519E-3</v>
      </c>
      <c r="G15" s="142" t="s">
        <v>31</v>
      </c>
      <c r="H15" s="142"/>
      <c r="I15" s="142" t="s">
        <v>32</v>
      </c>
      <c r="J15" s="142" t="s">
        <v>43</v>
      </c>
      <c r="K15" s="142"/>
      <c r="L15" s="161">
        <f t="shared" si="0"/>
        <v>14</v>
      </c>
      <c r="M15" s="145"/>
      <c r="N15" s="145" t="s">
        <v>32</v>
      </c>
      <c r="O15" s="142" t="s">
        <v>32</v>
      </c>
      <c r="P15" s="142" t="s">
        <v>32</v>
      </c>
      <c r="Q15" s="142" t="s">
        <v>32</v>
      </c>
      <c r="R15" s="142" t="s">
        <v>32</v>
      </c>
      <c r="S15" s="142"/>
      <c r="T15" s="142" t="s">
        <v>32</v>
      </c>
      <c r="U15" s="142" t="s">
        <v>32</v>
      </c>
      <c r="V15" s="142" t="s">
        <v>32</v>
      </c>
      <c r="W15" s="142" t="s">
        <v>32</v>
      </c>
      <c r="X15" s="142"/>
      <c r="Y15" s="142" t="s">
        <v>32</v>
      </c>
      <c r="Z15" s="142"/>
      <c r="AA15" s="142" t="s">
        <v>32</v>
      </c>
      <c r="AB15" s="142" t="s">
        <v>32</v>
      </c>
      <c r="AC15" s="142" t="s">
        <v>32</v>
      </c>
      <c r="AD15" s="142" t="s">
        <v>32</v>
      </c>
    </row>
    <row r="16" spans="1:30" s="147" customFormat="1" ht="22" customHeight="1">
      <c r="A16" s="148" t="s">
        <v>65</v>
      </c>
      <c r="B16" s="149" t="s">
        <v>2</v>
      </c>
      <c r="C16" s="149" t="s">
        <v>3</v>
      </c>
      <c r="D16" s="148" t="s">
        <v>66</v>
      </c>
      <c r="E16" s="148" t="s">
        <v>30</v>
      </c>
      <c r="F16" s="150">
        <v>2.488425925925926E-3</v>
      </c>
      <c r="G16" s="148" t="s">
        <v>36</v>
      </c>
      <c r="H16" s="148"/>
      <c r="I16" s="148" t="s">
        <v>32</v>
      </c>
      <c r="J16" s="148" t="s">
        <v>37</v>
      </c>
      <c r="K16" s="148"/>
      <c r="L16" s="161">
        <f t="shared" si="0"/>
        <v>8</v>
      </c>
      <c r="M16" s="151" t="s">
        <v>32</v>
      </c>
      <c r="N16" s="151"/>
      <c r="O16" s="152" t="s">
        <v>32</v>
      </c>
      <c r="P16" s="148" t="s">
        <v>32</v>
      </c>
      <c r="Q16" s="148" t="s">
        <v>32</v>
      </c>
      <c r="R16" s="148" t="s">
        <v>32</v>
      </c>
      <c r="S16" s="148"/>
      <c r="T16" s="148"/>
      <c r="U16" s="148"/>
      <c r="V16" s="148" t="s">
        <v>32</v>
      </c>
      <c r="W16" s="148"/>
      <c r="X16" s="148"/>
      <c r="Y16" s="148" t="s">
        <v>32</v>
      </c>
      <c r="Z16" s="148"/>
      <c r="AA16" s="148"/>
      <c r="AB16" s="148"/>
      <c r="AC16" s="148" t="s">
        <v>32</v>
      </c>
      <c r="AD16" s="148"/>
    </row>
    <row r="17" spans="1:30" s="147" customFormat="1" ht="22" customHeight="1">
      <c r="A17" s="142" t="s">
        <v>67</v>
      </c>
      <c r="B17" s="154" t="s">
        <v>2</v>
      </c>
      <c r="C17" s="154" t="s">
        <v>3</v>
      </c>
      <c r="D17" s="142" t="s">
        <v>68</v>
      </c>
      <c r="E17" s="142" t="s">
        <v>59</v>
      </c>
      <c r="F17" s="144">
        <v>1.9328703703703704E-3</v>
      </c>
      <c r="G17" s="142" t="s">
        <v>39</v>
      </c>
      <c r="H17" s="142"/>
      <c r="I17" s="142" t="s">
        <v>32</v>
      </c>
      <c r="J17" s="142" t="s">
        <v>69</v>
      </c>
      <c r="K17" s="142"/>
      <c r="L17" s="161">
        <f t="shared" si="0"/>
        <v>1</v>
      </c>
      <c r="M17" s="145"/>
      <c r="N17" s="145"/>
      <c r="O17" s="146"/>
      <c r="P17" s="142"/>
      <c r="Q17" s="142"/>
      <c r="R17" s="142"/>
      <c r="S17" s="142"/>
      <c r="T17" s="142"/>
      <c r="U17" s="142"/>
      <c r="V17" s="142"/>
      <c r="W17" s="142"/>
      <c r="X17" s="142"/>
      <c r="Y17" s="142" t="s">
        <v>32</v>
      </c>
      <c r="Z17" s="142"/>
      <c r="AA17" s="142"/>
      <c r="AB17" s="142"/>
      <c r="AC17" s="142"/>
      <c r="AD17" s="142"/>
    </row>
    <row r="18" spans="1:30" s="147" customFormat="1" ht="22" customHeight="1">
      <c r="A18" s="148" t="s">
        <v>70</v>
      </c>
      <c r="B18" s="149" t="s">
        <v>2</v>
      </c>
      <c r="C18" s="149" t="s">
        <v>3</v>
      </c>
      <c r="D18" s="148" t="s">
        <v>71</v>
      </c>
      <c r="E18" s="148" t="s">
        <v>30</v>
      </c>
      <c r="F18" s="150">
        <v>2.4305555555555556E-3</v>
      </c>
      <c r="G18" s="148" t="s">
        <v>31</v>
      </c>
      <c r="H18" s="148"/>
      <c r="I18" s="148" t="s">
        <v>32</v>
      </c>
      <c r="J18" s="148" t="s">
        <v>69</v>
      </c>
      <c r="K18" s="148"/>
      <c r="L18" s="161">
        <f t="shared" si="0"/>
        <v>9</v>
      </c>
      <c r="M18" s="151"/>
      <c r="N18" s="151"/>
      <c r="O18" s="148"/>
      <c r="P18" s="148"/>
      <c r="Q18" s="148"/>
      <c r="R18" s="148"/>
      <c r="S18" s="148"/>
      <c r="T18" s="148"/>
      <c r="U18" s="148" t="s">
        <v>32</v>
      </c>
      <c r="V18" s="148" t="s">
        <v>32</v>
      </c>
      <c r="W18" s="148" t="s">
        <v>32</v>
      </c>
      <c r="X18" s="148" t="s">
        <v>32</v>
      </c>
      <c r="Y18" s="148" t="s">
        <v>32</v>
      </c>
      <c r="Z18" s="148"/>
      <c r="AA18" s="148" t="s">
        <v>32</v>
      </c>
      <c r="AB18" s="148" t="s">
        <v>32</v>
      </c>
      <c r="AC18" s="148" t="s">
        <v>32</v>
      </c>
      <c r="AD18" s="148" t="s">
        <v>32</v>
      </c>
    </row>
    <row r="19" spans="1:30" s="147" customFormat="1" ht="22" customHeight="1">
      <c r="A19" s="142" t="s">
        <v>72</v>
      </c>
      <c r="B19" s="154" t="s">
        <v>2</v>
      </c>
      <c r="C19" s="154" t="s">
        <v>3</v>
      </c>
      <c r="D19" s="142" t="s">
        <v>73</v>
      </c>
      <c r="E19" s="142" t="s">
        <v>30</v>
      </c>
      <c r="F19" s="144">
        <v>2.6041666666666665E-3</v>
      </c>
      <c r="G19" s="142" t="s">
        <v>36</v>
      </c>
      <c r="H19" s="142"/>
      <c r="I19" s="142" t="s">
        <v>32</v>
      </c>
      <c r="J19" s="142" t="s">
        <v>56</v>
      </c>
      <c r="K19" s="142"/>
      <c r="L19" s="161">
        <f t="shared" si="0"/>
        <v>6</v>
      </c>
      <c r="M19" s="145"/>
      <c r="N19" s="145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 t="s">
        <v>32</v>
      </c>
      <c r="Z19" s="142" t="s">
        <v>32</v>
      </c>
      <c r="AA19" s="142" t="s">
        <v>32</v>
      </c>
      <c r="AB19" s="142" t="s">
        <v>32</v>
      </c>
      <c r="AC19" s="142" t="s">
        <v>32</v>
      </c>
      <c r="AD19" s="142" t="s">
        <v>32</v>
      </c>
    </row>
    <row r="20" spans="1:30" s="147" customFormat="1" ht="22" customHeight="1">
      <c r="A20" s="148" t="s">
        <v>74</v>
      </c>
      <c r="B20" s="149" t="s">
        <v>2</v>
      </c>
      <c r="C20" s="149" t="s">
        <v>3</v>
      </c>
      <c r="D20" s="148" t="s">
        <v>75</v>
      </c>
      <c r="E20" s="148" t="s">
        <v>30</v>
      </c>
      <c r="F20" s="150">
        <v>4.6874999999999998E-3</v>
      </c>
      <c r="G20" s="148" t="s">
        <v>39</v>
      </c>
      <c r="H20" s="148"/>
      <c r="I20" s="148" t="s">
        <v>32</v>
      </c>
      <c r="J20" s="148" t="s">
        <v>33</v>
      </c>
      <c r="K20" s="148"/>
      <c r="L20" s="161">
        <f t="shared" si="0"/>
        <v>9</v>
      </c>
      <c r="M20" s="151" t="s">
        <v>32</v>
      </c>
      <c r="N20" s="151" t="s">
        <v>32</v>
      </c>
      <c r="O20" s="152"/>
      <c r="P20" s="148" t="s">
        <v>32</v>
      </c>
      <c r="Q20" s="148" t="s">
        <v>32</v>
      </c>
      <c r="R20" s="148" t="s">
        <v>32</v>
      </c>
      <c r="S20" s="148"/>
      <c r="T20" s="148"/>
      <c r="U20" s="148" t="s">
        <v>32</v>
      </c>
      <c r="V20" s="148" t="s">
        <v>32</v>
      </c>
      <c r="W20" s="148"/>
      <c r="X20" s="148"/>
      <c r="Y20" s="148" t="s">
        <v>32</v>
      </c>
      <c r="Z20" s="148"/>
      <c r="AA20" s="148"/>
      <c r="AB20" s="148"/>
      <c r="AC20" s="148" t="s">
        <v>32</v>
      </c>
      <c r="AD20" s="148"/>
    </row>
    <row r="21" spans="1:30" s="147" customFormat="1" ht="22" customHeight="1">
      <c r="A21" s="142" t="s">
        <v>76</v>
      </c>
      <c r="B21" s="154" t="s">
        <v>2</v>
      </c>
      <c r="C21" s="154" t="s">
        <v>3</v>
      </c>
      <c r="D21" s="142" t="s">
        <v>77</v>
      </c>
      <c r="E21" s="142" t="s">
        <v>30</v>
      </c>
      <c r="F21" s="144">
        <v>2.5115740740740741E-3</v>
      </c>
      <c r="G21" s="142" t="s">
        <v>31</v>
      </c>
      <c r="H21" s="142"/>
      <c r="I21" s="142"/>
      <c r="J21" s="142" t="s">
        <v>43</v>
      </c>
      <c r="K21" s="142"/>
      <c r="L21" s="161">
        <f t="shared" si="0"/>
        <v>1</v>
      </c>
      <c r="M21" s="145"/>
      <c r="N21" s="145"/>
      <c r="O21" s="146"/>
      <c r="P21" s="142"/>
      <c r="Q21" s="142"/>
      <c r="R21" s="142" t="s">
        <v>32</v>
      </c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</row>
    <row r="22" spans="1:30" s="147" customFormat="1" ht="22" customHeight="1">
      <c r="A22" s="148" t="s">
        <v>78</v>
      </c>
      <c r="B22" s="149" t="s">
        <v>2</v>
      </c>
      <c r="C22" s="149" t="s">
        <v>3</v>
      </c>
      <c r="D22" s="148" t="s">
        <v>79</v>
      </c>
      <c r="E22" s="148" t="s">
        <v>30</v>
      </c>
      <c r="F22" s="150">
        <v>2.5810185185185185E-3</v>
      </c>
      <c r="G22" s="148" t="s">
        <v>39</v>
      </c>
      <c r="H22" s="148"/>
      <c r="I22" s="148" t="s">
        <v>32</v>
      </c>
      <c r="J22" s="148" t="s">
        <v>56</v>
      </c>
      <c r="K22" s="148"/>
      <c r="L22" s="161">
        <f t="shared" si="0"/>
        <v>17</v>
      </c>
      <c r="M22" s="151" t="s">
        <v>32</v>
      </c>
      <c r="N22" s="151" t="s">
        <v>32</v>
      </c>
      <c r="O22" s="148" t="s">
        <v>32</v>
      </c>
      <c r="P22" s="148" t="s">
        <v>32</v>
      </c>
      <c r="Q22" s="148" t="s">
        <v>32</v>
      </c>
      <c r="R22" s="148" t="s">
        <v>32</v>
      </c>
      <c r="S22" s="148" t="s">
        <v>32</v>
      </c>
      <c r="T22" s="148" t="s">
        <v>32</v>
      </c>
      <c r="U22" s="148" t="s">
        <v>32</v>
      </c>
      <c r="V22" s="148" t="s">
        <v>32</v>
      </c>
      <c r="W22" s="148" t="s">
        <v>32</v>
      </c>
      <c r="X22" s="148"/>
      <c r="Y22" s="148" t="s">
        <v>32</v>
      </c>
      <c r="Z22" s="148" t="s">
        <v>32</v>
      </c>
      <c r="AA22" s="148" t="s">
        <v>32</v>
      </c>
      <c r="AB22" s="148" t="s">
        <v>32</v>
      </c>
      <c r="AC22" s="148" t="s">
        <v>32</v>
      </c>
      <c r="AD22" s="148" t="s">
        <v>32</v>
      </c>
    </row>
    <row r="23" spans="1:30" s="147" customFormat="1" ht="22" customHeight="1">
      <c r="A23" s="142" t="s">
        <v>80</v>
      </c>
      <c r="B23" s="143" t="s">
        <v>2</v>
      </c>
      <c r="C23" s="154" t="s">
        <v>3</v>
      </c>
      <c r="D23" s="142" t="s">
        <v>81</v>
      </c>
      <c r="E23" s="142" t="s">
        <v>30</v>
      </c>
      <c r="F23" s="144">
        <v>2.6041666666666665E-3</v>
      </c>
      <c r="G23" s="142" t="s">
        <v>39</v>
      </c>
      <c r="H23" s="142"/>
      <c r="I23" s="142" t="s">
        <v>32</v>
      </c>
      <c r="J23" s="142" t="s">
        <v>33</v>
      </c>
      <c r="K23" s="142"/>
      <c r="L23" s="161">
        <f t="shared" si="0"/>
        <v>8</v>
      </c>
      <c r="M23" s="145"/>
      <c r="N23" s="145"/>
      <c r="O23" s="146"/>
      <c r="P23" s="142"/>
      <c r="Q23" s="142" t="s">
        <v>32</v>
      </c>
      <c r="R23" s="142" t="s">
        <v>32</v>
      </c>
      <c r="S23" s="142" t="s">
        <v>32</v>
      </c>
      <c r="T23" s="142" t="s">
        <v>32</v>
      </c>
      <c r="U23" s="142" t="s">
        <v>32</v>
      </c>
      <c r="V23" s="142" t="s">
        <v>32</v>
      </c>
      <c r="W23" s="142" t="s">
        <v>32</v>
      </c>
      <c r="X23" s="142"/>
      <c r="Y23" s="142" t="s">
        <v>32</v>
      </c>
      <c r="Z23" s="142"/>
      <c r="AA23" s="142"/>
      <c r="AB23" s="142"/>
      <c r="AC23" s="142"/>
      <c r="AD23" s="142"/>
    </row>
    <row r="24" spans="1:30" s="147" customFormat="1" ht="22" customHeight="1">
      <c r="A24" s="148" t="s">
        <v>82</v>
      </c>
      <c r="B24" s="149" t="s">
        <v>2</v>
      </c>
      <c r="C24" s="156"/>
      <c r="D24" s="148" t="s">
        <v>83</v>
      </c>
      <c r="E24" s="148" t="s">
        <v>30</v>
      </c>
      <c r="F24" s="150">
        <v>3.8541666666666668E-3</v>
      </c>
      <c r="G24" s="148" t="s">
        <v>36</v>
      </c>
      <c r="H24" s="148"/>
      <c r="I24" s="148" t="s">
        <v>32</v>
      </c>
      <c r="J24" s="148" t="s">
        <v>84</v>
      </c>
      <c r="K24" s="148"/>
      <c r="L24" s="161">
        <f t="shared" si="0"/>
        <v>8</v>
      </c>
      <c r="M24" s="151"/>
      <c r="N24" s="151"/>
      <c r="O24" s="148" t="s">
        <v>32</v>
      </c>
      <c r="P24" s="148"/>
      <c r="Q24" s="148" t="s">
        <v>32</v>
      </c>
      <c r="R24" s="148" t="s">
        <v>32</v>
      </c>
      <c r="S24" s="148" t="s">
        <v>32</v>
      </c>
      <c r="T24" s="148"/>
      <c r="U24" s="148" t="s">
        <v>32</v>
      </c>
      <c r="V24" s="148" t="s">
        <v>32</v>
      </c>
      <c r="W24" s="148"/>
      <c r="X24" s="148"/>
      <c r="Y24" s="148" t="s">
        <v>32</v>
      </c>
      <c r="Z24" s="148"/>
      <c r="AA24" s="148"/>
      <c r="AB24" s="148" t="s">
        <v>32</v>
      </c>
      <c r="AC24" s="148"/>
      <c r="AD24" s="148"/>
    </row>
    <row r="25" spans="1:30" s="147" customFormat="1" ht="22" customHeight="1">
      <c r="A25" s="142" t="s">
        <v>85</v>
      </c>
      <c r="B25" s="154" t="s">
        <v>2</v>
      </c>
      <c r="C25" s="154" t="s">
        <v>3</v>
      </c>
      <c r="D25" s="142" t="s">
        <v>86</v>
      </c>
      <c r="E25" s="142" t="s">
        <v>30</v>
      </c>
      <c r="F25" s="144">
        <v>1.9791666666666668E-3</v>
      </c>
      <c r="G25" s="142" t="s">
        <v>48</v>
      </c>
      <c r="H25" s="142" t="s">
        <v>32</v>
      </c>
      <c r="I25" s="142" t="s">
        <v>32</v>
      </c>
      <c r="J25" s="142" t="s">
        <v>37</v>
      </c>
      <c r="K25" s="142"/>
      <c r="L25" s="161">
        <f t="shared" si="0"/>
        <v>11</v>
      </c>
      <c r="M25" s="145"/>
      <c r="N25" s="145"/>
      <c r="O25" s="146" t="s">
        <v>32</v>
      </c>
      <c r="P25" s="146" t="s">
        <v>32</v>
      </c>
      <c r="Q25" s="142" t="s">
        <v>32</v>
      </c>
      <c r="R25" s="142" t="s">
        <v>32</v>
      </c>
      <c r="S25" s="142" t="s">
        <v>32</v>
      </c>
      <c r="T25" s="142"/>
      <c r="U25" s="142" t="s">
        <v>32</v>
      </c>
      <c r="V25" s="142" t="s">
        <v>32</v>
      </c>
      <c r="W25" s="142"/>
      <c r="X25" s="142"/>
      <c r="Y25" s="142" t="s">
        <v>32</v>
      </c>
      <c r="Z25" s="142" t="s">
        <v>32</v>
      </c>
      <c r="AA25" s="142"/>
      <c r="AB25" s="142"/>
      <c r="AC25" s="142" t="s">
        <v>32</v>
      </c>
      <c r="AD25" s="142" t="s">
        <v>32</v>
      </c>
    </row>
    <row r="26" spans="1:30" s="147" customFormat="1" ht="22" customHeight="1">
      <c r="A26" s="148" t="s">
        <v>87</v>
      </c>
      <c r="B26" s="149" t="s">
        <v>2</v>
      </c>
      <c r="C26" s="149" t="s">
        <v>3</v>
      </c>
      <c r="D26" s="148" t="s">
        <v>88</v>
      </c>
      <c r="E26" s="148" t="s">
        <v>30</v>
      </c>
      <c r="F26" s="150">
        <v>2.650462962962963E-3</v>
      </c>
      <c r="G26" s="148" t="s">
        <v>31</v>
      </c>
      <c r="H26" s="148"/>
      <c r="I26" s="148" t="s">
        <v>32</v>
      </c>
      <c r="J26" s="148" t="s">
        <v>33</v>
      </c>
      <c r="K26" s="148"/>
      <c r="L26" s="161">
        <f t="shared" si="0"/>
        <v>1</v>
      </c>
      <c r="M26" s="151"/>
      <c r="N26" s="151"/>
      <c r="O26" s="152"/>
      <c r="P26" s="152"/>
      <c r="Q26" s="152"/>
      <c r="R26" s="152"/>
      <c r="S26" s="152"/>
      <c r="T26" s="152"/>
      <c r="U26" s="152"/>
      <c r="V26" s="152"/>
      <c r="W26" s="152"/>
      <c r="X26" s="152"/>
      <c r="Y26" s="152"/>
      <c r="Z26" s="152"/>
      <c r="AA26" s="152"/>
      <c r="AB26" s="152"/>
      <c r="AC26" s="152" t="s">
        <v>32</v>
      </c>
      <c r="AD26" s="152"/>
    </row>
    <row r="27" spans="1:30" s="147" customFormat="1" ht="22" customHeight="1">
      <c r="A27" s="142" t="s">
        <v>89</v>
      </c>
      <c r="B27" s="154" t="s">
        <v>2</v>
      </c>
      <c r="C27" s="154" t="s">
        <v>3</v>
      </c>
      <c r="D27" s="142" t="s">
        <v>51</v>
      </c>
      <c r="E27" s="142" t="s">
        <v>30</v>
      </c>
      <c r="F27" s="144">
        <v>3.0439814814814813E-3</v>
      </c>
      <c r="G27" s="142" t="s">
        <v>48</v>
      </c>
      <c r="H27" s="142" t="s">
        <v>32</v>
      </c>
      <c r="I27" s="142" t="s">
        <v>32</v>
      </c>
      <c r="J27" s="142" t="s">
        <v>40</v>
      </c>
      <c r="K27" s="142"/>
      <c r="L27" s="161">
        <f t="shared" si="0"/>
        <v>2</v>
      </c>
      <c r="M27" s="145"/>
      <c r="N27" s="145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 t="s">
        <v>32</v>
      </c>
      <c r="Z27" s="142"/>
      <c r="AA27" s="142"/>
      <c r="AB27" s="142"/>
      <c r="AC27" s="142" t="s">
        <v>32</v>
      </c>
      <c r="AD27" s="142"/>
    </row>
    <row r="28" spans="1:30" s="147" customFormat="1" ht="22" customHeight="1">
      <c r="A28" s="148" t="s">
        <v>90</v>
      </c>
      <c r="B28" s="149" t="s">
        <v>2</v>
      </c>
      <c r="C28" s="149" t="s">
        <v>3</v>
      </c>
      <c r="D28" s="148" t="s">
        <v>91</v>
      </c>
      <c r="E28" s="148" t="s">
        <v>30</v>
      </c>
      <c r="F28" s="150">
        <v>2.8587962962962963E-3</v>
      </c>
      <c r="G28" s="148" t="s">
        <v>36</v>
      </c>
      <c r="H28" s="148"/>
      <c r="I28" s="148" t="s">
        <v>32</v>
      </c>
      <c r="J28" s="148" t="s">
        <v>56</v>
      </c>
      <c r="K28" s="148"/>
      <c r="L28" s="161">
        <f t="shared" si="0"/>
        <v>6</v>
      </c>
      <c r="M28" s="151"/>
      <c r="N28" s="151"/>
      <c r="O28" s="148"/>
      <c r="P28" s="148"/>
      <c r="Q28" s="148"/>
      <c r="R28" s="148"/>
      <c r="S28" s="148"/>
      <c r="T28" s="148"/>
      <c r="U28" s="148"/>
      <c r="V28" s="148"/>
      <c r="W28" s="148"/>
      <c r="X28" s="148" t="s">
        <v>32</v>
      </c>
      <c r="Y28" s="148" t="s">
        <v>32</v>
      </c>
      <c r="Z28" s="148"/>
      <c r="AA28" s="148" t="s">
        <v>32</v>
      </c>
      <c r="AB28" s="148" t="s">
        <v>32</v>
      </c>
      <c r="AC28" s="148" t="s">
        <v>32</v>
      </c>
      <c r="AD28" s="148" t="s">
        <v>32</v>
      </c>
    </row>
    <row r="29" spans="1:30" s="147" customFormat="1" ht="22" customHeight="1">
      <c r="A29" s="142" t="s">
        <v>92</v>
      </c>
      <c r="B29" s="154" t="s">
        <v>2</v>
      </c>
      <c r="C29" s="154" t="s">
        <v>3</v>
      </c>
      <c r="D29" s="142" t="s">
        <v>93</v>
      </c>
      <c r="E29" s="142" t="s">
        <v>30</v>
      </c>
      <c r="F29" s="144">
        <v>2.0486111111111113E-3</v>
      </c>
      <c r="G29" s="142" t="s">
        <v>36</v>
      </c>
      <c r="H29" s="142"/>
      <c r="I29" s="142" t="s">
        <v>32</v>
      </c>
      <c r="J29" s="142" t="s">
        <v>33</v>
      </c>
      <c r="K29" s="142"/>
      <c r="L29" s="161">
        <f t="shared" si="0"/>
        <v>12</v>
      </c>
      <c r="M29" s="145"/>
      <c r="N29" s="145" t="s">
        <v>32</v>
      </c>
      <c r="O29" s="146" t="s">
        <v>32</v>
      </c>
      <c r="P29" s="142" t="s">
        <v>32</v>
      </c>
      <c r="Q29" s="142" t="s">
        <v>32</v>
      </c>
      <c r="R29" s="142" t="s">
        <v>32</v>
      </c>
      <c r="S29" s="142" t="s">
        <v>32</v>
      </c>
      <c r="T29" s="142" t="s">
        <v>32</v>
      </c>
      <c r="U29" s="142" t="s">
        <v>32</v>
      </c>
      <c r="V29" s="142" t="s">
        <v>32</v>
      </c>
      <c r="W29" s="142"/>
      <c r="X29" s="142" t="s">
        <v>32</v>
      </c>
      <c r="Y29" s="142" t="s">
        <v>32</v>
      </c>
      <c r="Z29" s="142"/>
      <c r="AA29" s="142"/>
      <c r="AB29" s="142"/>
      <c r="AC29" s="142" t="s">
        <v>32</v>
      </c>
      <c r="AD29" s="142"/>
    </row>
    <row r="30" spans="1:30" s="147" customFormat="1" ht="22" customHeight="1">
      <c r="A30" s="148" t="s">
        <v>94</v>
      </c>
      <c r="B30" s="149" t="s">
        <v>2</v>
      </c>
      <c r="C30" s="149" t="s">
        <v>3</v>
      </c>
      <c r="D30" s="148" t="s">
        <v>95</v>
      </c>
      <c r="E30" s="148" t="s">
        <v>30</v>
      </c>
      <c r="F30" s="150">
        <v>3.5995370370370369E-3</v>
      </c>
      <c r="G30" s="148" t="s">
        <v>39</v>
      </c>
      <c r="H30" s="148"/>
      <c r="I30" s="148" t="s">
        <v>32</v>
      </c>
      <c r="J30" s="148" t="s">
        <v>33</v>
      </c>
      <c r="K30" s="148"/>
      <c r="L30" s="161">
        <f t="shared" si="0"/>
        <v>15</v>
      </c>
      <c r="M30" s="151"/>
      <c r="N30" s="151"/>
      <c r="O30" s="148" t="s">
        <v>32</v>
      </c>
      <c r="P30" s="148" t="s">
        <v>32</v>
      </c>
      <c r="Q30" s="148" t="s">
        <v>32</v>
      </c>
      <c r="R30" s="148" t="s">
        <v>32</v>
      </c>
      <c r="S30" s="148" t="s">
        <v>32</v>
      </c>
      <c r="T30" s="148" t="s">
        <v>32</v>
      </c>
      <c r="U30" s="148" t="s">
        <v>32</v>
      </c>
      <c r="V30" s="148" t="s">
        <v>32</v>
      </c>
      <c r="W30" s="148" t="s">
        <v>32</v>
      </c>
      <c r="X30" s="148" t="s">
        <v>32</v>
      </c>
      <c r="Y30" s="148" t="s">
        <v>32</v>
      </c>
      <c r="Z30" s="148" t="s">
        <v>32</v>
      </c>
      <c r="AA30" s="148" t="s">
        <v>32</v>
      </c>
      <c r="AB30" s="148" t="s">
        <v>32</v>
      </c>
      <c r="AC30" s="148" t="s">
        <v>32</v>
      </c>
      <c r="AD30" s="148"/>
    </row>
    <row r="31" spans="1:30" s="147" customFormat="1" ht="22" customHeight="1">
      <c r="A31" s="142" t="s">
        <v>96</v>
      </c>
      <c r="B31" s="154" t="s">
        <v>2</v>
      </c>
      <c r="C31" s="154" t="s">
        <v>3</v>
      </c>
      <c r="D31" s="142" t="s">
        <v>42</v>
      </c>
      <c r="E31" s="142" t="s">
        <v>30</v>
      </c>
      <c r="F31" s="144">
        <v>1.9675925925925924E-3</v>
      </c>
      <c r="G31" s="142" t="s">
        <v>48</v>
      </c>
      <c r="H31" s="142" t="s">
        <v>32</v>
      </c>
      <c r="I31" s="142"/>
      <c r="J31" s="142" t="s">
        <v>43</v>
      </c>
      <c r="K31" s="142"/>
      <c r="L31" s="161">
        <f t="shared" si="0"/>
        <v>2</v>
      </c>
      <c r="M31" s="145" t="s">
        <v>32</v>
      </c>
      <c r="N31" s="145"/>
      <c r="O31" s="146"/>
      <c r="P31" s="142"/>
      <c r="Q31" s="142"/>
      <c r="R31" s="142" t="s">
        <v>32</v>
      </c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</row>
    <row r="32" spans="1:30" s="147" customFormat="1" ht="22" customHeight="1">
      <c r="A32" s="148" t="s">
        <v>97</v>
      </c>
      <c r="B32" s="149" t="s">
        <v>2</v>
      </c>
      <c r="C32" s="149" t="s">
        <v>3</v>
      </c>
      <c r="D32" s="148" t="s">
        <v>98</v>
      </c>
      <c r="E32" s="148" t="s">
        <v>30</v>
      </c>
      <c r="F32" s="150">
        <v>3.2291666666666666E-3</v>
      </c>
      <c r="G32" s="148" t="s">
        <v>31</v>
      </c>
      <c r="H32" s="148"/>
      <c r="I32" s="148" t="s">
        <v>32</v>
      </c>
      <c r="J32" s="148" t="s">
        <v>33</v>
      </c>
      <c r="K32" s="148"/>
      <c r="L32" s="161">
        <f t="shared" si="0"/>
        <v>7</v>
      </c>
      <c r="M32" s="151"/>
      <c r="N32" s="151"/>
      <c r="O32" s="152" t="s">
        <v>32</v>
      </c>
      <c r="P32" s="148" t="s">
        <v>32</v>
      </c>
      <c r="Q32" s="148" t="s">
        <v>32</v>
      </c>
      <c r="R32" s="148" t="s">
        <v>32</v>
      </c>
      <c r="S32" s="148"/>
      <c r="T32" s="148"/>
      <c r="U32" s="148"/>
      <c r="V32" s="148" t="s">
        <v>32</v>
      </c>
      <c r="W32" s="148"/>
      <c r="X32" s="148"/>
      <c r="Y32" s="148" t="s">
        <v>32</v>
      </c>
      <c r="Z32" s="148"/>
      <c r="AA32" s="148"/>
      <c r="AB32" s="148"/>
      <c r="AC32" s="148" t="s">
        <v>32</v>
      </c>
      <c r="AD32" s="148"/>
    </row>
    <row r="33" spans="1:30" s="147" customFormat="1" ht="22" customHeight="1">
      <c r="A33" s="142" t="s">
        <v>99</v>
      </c>
      <c r="B33" s="154" t="s">
        <v>2</v>
      </c>
      <c r="C33" s="154" t="s">
        <v>3</v>
      </c>
      <c r="D33" s="142" t="s">
        <v>100</v>
      </c>
      <c r="E33" s="142" t="s">
        <v>59</v>
      </c>
      <c r="F33" s="144">
        <v>2.9513888888888888E-3</v>
      </c>
      <c r="G33" s="142" t="s">
        <v>39</v>
      </c>
      <c r="H33" s="142"/>
      <c r="I33" s="142" t="s">
        <v>32</v>
      </c>
      <c r="J33" s="142" t="s">
        <v>69</v>
      </c>
      <c r="K33" s="142"/>
      <c r="L33" s="161">
        <f t="shared" si="0"/>
        <v>13</v>
      </c>
      <c r="M33" s="145"/>
      <c r="N33" s="145"/>
      <c r="O33" s="142"/>
      <c r="P33" s="142"/>
      <c r="Q33" s="142"/>
      <c r="R33" s="142" t="s">
        <v>32</v>
      </c>
      <c r="S33" s="142" t="s">
        <v>32</v>
      </c>
      <c r="T33" s="142" t="s">
        <v>32</v>
      </c>
      <c r="U33" s="142" t="s">
        <v>32</v>
      </c>
      <c r="V33" s="142" t="s">
        <v>32</v>
      </c>
      <c r="W33" s="142" t="s">
        <v>32</v>
      </c>
      <c r="X33" s="142" t="s">
        <v>32</v>
      </c>
      <c r="Y33" s="142" t="s">
        <v>32</v>
      </c>
      <c r="Z33" s="142" t="s">
        <v>32</v>
      </c>
      <c r="AA33" s="142" t="s">
        <v>32</v>
      </c>
      <c r="AB33" s="142" t="s">
        <v>32</v>
      </c>
      <c r="AC33" s="142" t="s">
        <v>32</v>
      </c>
      <c r="AD33" s="142" t="s">
        <v>32</v>
      </c>
    </row>
    <row r="34" spans="1:30" s="147" customFormat="1" ht="22" customHeight="1">
      <c r="A34" s="148" t="s">
        <v>101</v>
      </c>
      <c r="B34" s="149" t="s">
        <v>2</v>
      </c>
      <c r="C34" s="149" t="s">
        <v>3</v>
      </c>
      <c r="D34" s="148" t="s">
        <v>102</v>
      </c>
      <c r="E34" s="148" t="s">
        <v>30</v>
      </c>
      <c r="F34" s="150">
        <v>4.1319444444444442E-3</v>
      </c>
      <c r="G34" s="148" t="s">
        <v>31</v>
      </c>
      <c r="H34" s="148"/>
      <c r="I34" s="148"/>
      <c r="J34" s="148" t="s">
        <v>33</v>
      </c>
      <c r="K34" s="148"/>
      <c r="L34" s="161">
        <f t="shared" si="0"/>
        <v>8</v>
      </c>
      <c r="M34" s="151"/>
      <c r="N34" s="151" t="s">
        <v>32</v>
      </c>
      <c r="O34" s="152" t="s">
        <v>32</v>
      </c>
      <c r="P34" s="148"/>
      <c r="Q34" s="148" t="s">
        <v>32</v>
      </c>
      <c r="R34" s="148" t="s">
        <v>32</v>
      </c>
      <c r="S34" s="148"/>
      <c r="T34" s="148"/>
      <c r="U34" s="148" t="s">
        <v>32</v>
      </c>
      <c r="V34" s="148" t="s">
        <v>32</v>
      </c>
      <c r="W34" s="148" t="s">
        <v>32</v>
      </c>
      <c r="X34" s="148"/>
      <c r="Y34" s="148" t="s">
        <v>32</v>
      </c>
      <c r="Z34" s="148"/>
      <c r="AA34" s="148"/>
      <c r="AB34" s="148"/>
      <c r="AC34" s="148"/>
      <c r="AD34" s="148"/>
    </row>
    <row r="35" spans="1:30" s="147" customFormat="1" ht="22" customHeight="1">
      <c r="A35" s="142" t="s">
        <v>103</v>
      </c>
      <c r="B35" s="154" t="s">
        <v>2</v>
      </c>
      <c r="C35" s="154" t="s">
        <v>3</v>
      </c>
      <c r="D35" s="142" t="s">
        <v>53</v>
      </c>
      <c r="E35" s="142" t="s">
        <v>30</v>
      </c>
      <c r="F35" s="144">
        <v>5.9606481481481481E-3</v>
      </c>
      <c r="G35" s="142" t="s">
        <v>31</v>
      </c>
      <c r="H35" s="142"/>
      <c r="I35" s="142" t="s">
        <v>32</v>
      </c>
      <c r="J35" s="142" t="s">
        <v>56</v>
      </c>
      <c r="K35" s="142"/>
      <c r="L35" s="161">
        <f t="shared" si="0"/>
        <v>9</v>
      </c>
      <c r="M35" s="145"/>
      <c r="N35" s="145" t="s">
        <v>32</v>
      </c>
      <c r="O35" s="146" t="s">
        <v>32</v>
      </c>
      <c r="P35" s="142"/>
      <c r="Q35" s="142" t="s">
        <v>32</v>
      </c>
      <c r="R35" s="142" t="s">
        <v>32</v>
      </c>
      <c r="S35" s="142"/>
      <c r="T35" s="142" t="s">
        <v>32</v>
      </c>
      <c r="U35" s="142" t="s">
        <v>32</v>
      </c>
      <c r="V35" s="142" t="s">
        <v>32</v>
      </c>
      <c r="W35" s="142"/>
      <c r="X35" s="142"/>
      <c r="Y35" s="142" t="s">
        <v>32</v>
      </c>
      <c r="Z35" s="142"/>
      <c r="AA35" s="142"/>
      <c r="AB35" s="142"/>
      <c r="AC35" s="142" t="s">
        <v>32</v>
      </c>
      <c r="AD35" s="142"/>
    </row>
    <row r="36" spans="1:30" s="147" customFormat="1" ht="22" customHeight="1">
      <c r="A36" s="148" t="s">
        <v>104</v>
      </c>
      <c r="B36" s="149" t="s">
        <v>2</v>
      </c>
      <c r="C36" s="149" t="s">
        <v>3</v>
      </c>
      <c r="D36" s="148" t="s">
        <v>105</v>
      </c>
      <c r="E36" s="148" t="s">
        <v>30</v>
      </c>
      <c r="F36" s="150">
        <v>2.4305555555555556E-3</v>
      </c>
      <c r="G36" s="148" t="s">
        <v>36</v>
      </c>
      <c r="H36" s="148"/>
      <c r="I36" s="148"/>
      <c r="J36" s="148" t="s">
        <v>40</v>
      </c>
      <c r="K36" s="148"/>
      <c r="L36" s="161">
        <f t="shared" si="0"/>
        <v>4</v>
      </c>
      <c r="M36" s="151"/>
      <c r="N36" s="151" t="s">
        <v>32</v>
      </c>
      <c r="O36" s="152"/>
      <c r="P36" s="148"/>
      <c r="Q36" s="148" t="s">
        <v>32</v>
      </c>
      <c r="R36" s="148" t="s">
        <v>32</v>
      </c>
      <c r="S36" s="148"/>
      <c r="T36" s="148"/>
      <c r="U36" s="148"/>
      <c r="V36" s="148"/>
      <c r="W36" s="148"/>
      <c r="X36" s="148"/>
      <c r="Y36" s="148"/>
      <c r="Z36" s="148"/>
      <c r="AA36" s="148" t="s">
        <v>32</v>
      </c>
      <c r="AB36" s="148"/>
      <c r="AC36" s="148"/>
      <c r="AD36" s="148"/>
    </row>
    <row r="37" spans="1:30" s="147" customFormat="1" ht="22" customHeight="1">
      <c r="A37" s="142" t="s">
        <v>106</v>
      </c>
      <c r="B37" s="154" t="s">
        <v>2</v>
      </c>
      <c r="C37" s="154" t="s">
        <v>3</v>
      </c>
      <c r="D37" s="142" t="s">
        <v>107</v>
      </c>
      <c r="E37" s="142" t="s">
        <v>59</v>
      </c>
      <c r="F37" s="144">
        <v>3.3680555555555556E-3</v>
      </c>
      <c r="G37" s="142" t="s">
        <v>36</v>
      </c>
      <c r="H37" s="142"/>
      <c r="I37" s="142" t="s">
        <v>32</v>
      </c>
      <c r="J37" s="142" t="s">
        <v>56</v>
      </c>
      <c r="K37" s="142"/>
      <c r="L37" s="161">
        <f t="shared" si="0"/>
        <v>10</v>
      </c>
      <c r="M37" s="145"/>
      <c r="N37" s="145"/>
      <c r="O37" s="142"/>
      <c r="P37" s="142"/>
      <c r="Q37" s="142"/>
      <c r="R37" s="142"/>
      <c r="S37" s="142"/>
      <c r="T37" s="142" t="s">
        <v>32</v>
      </c>
      <c r="U37" s="142" t="s">
        <v>32</v>
      </c>
      <c r="V37" s="142" t="s">
        <v>32</v>
      </c>
      <c r="W37" s="142" t="s">
        <v>32</v>
      </c>
      <c r="X37" s="142" t="s">
        <v>32</v>
      </c>
      <c r="Y37" s="142" t="s">
        <v>32</v>
      </c>
      <c r="Z37" s="142"/>
      <c r="AA37" s="142" t="s">
        <v>32</v>
      </c>
      <c r="AB37" s="142" t="s">
        <v>32</v>
      </c>
      <c r="AC37" s="142" t="s">
        <v>32</v>
      </c>
      <c r="AD37" s="142" t="s">
        <v>32</v>
      </c>
    </row>
    <row r="38" spans="1:30" s="147" customFormat="1" ht="22" customHeight="1">
      <c r="A38" s="148" t="s">
        <v>108</v>
      </c>
      <c r="B38" s="149" t="s">
        <v>2</v>
      </c>
      <c r="C38" s="149" t="s">
        <v>3</v>
      </c>
      <c r="D38" s="148" t="s">
        <v>109</v>
      </c>
      <c r="E38" s="148" t="s">
        <v>30</v>
      </c>
      <c r="F38" s="150">
        <v>2.6041666666666665E-3</v>
      </c>
      <c r="G38" s="148" t="s">
        <v>36</v>
      </c>
      <c r="H38" s="148"/>
      <c r="I38" s="148" t="s">
        <v>32</v>
      </c>
      <c r="J38" s="148" t="s">
        <v>40</v>
      </c>
      <c r="K38" s="148"/>
      <c r="L38" s="161">
        <f t="shared" si="0"/>
        <v>6</v>
      </c>
      <c r="M38" s="151"/>
      <c r="N38" s="151"/>
      <c r="O38" s="148"/>
      <c r="P38" s="148"/>
      <c r="Q38" s="148"/>
      <c r="R38" s="148"/>
      <c r="S38" s="148"/>
      <c r="T38" s="148"/>
      <c r="U38" s="148"/>
      <c r="V38" s="148"/>
      <c r="W38" s="148"/>
      <c r="X38" s="148"/>
      <c r="Y38" s="148" t="s">
        <v>32</v>
      </c>
      <c r="Z38" s="148" t="s">
        <v>32</v>
      </c>
      <c r="AA38" s="148" t="s">
        <v>32</v>
      </c>
      <c r="AB38" s="148" t="s">
        <v>32</v>
      </c>
      <c r="AC38" s="148" t="s">
        <v>32</v>
      </c>
      <c r="AD38" s="148" t="s">
        <v>32</v>
      </c>
    </row>
    <row r="39" spans="1:30" s="147" customFormat="1" ht="22" customHeight="1">
      <c r="A39" s="142" t="s">
        <v>110</v>
      </c>
      <c r="B39" s="154" t="s">
        <v>2</v>
      </c>
      <c r="C39" s="154" t="s">
        <v>3</v>
      </c>
      <c r="D39" s="142" t="s">
        <v>111</v>
      </c>
      <c r="E39" s="142" t="s">
        <v>30</v>
      </c>
      <c r="F39" s="144">
        <v>3.472222222222222E-3</v>
      </c>
      <c r="G39" s="142" t="s">
        <v>112</v>
      </c>
      <c r="H39" s="142"/>
      <c r="I39" s="142"/>
      <c r="J39" s="142" t="s">
        <v>43</v>
      </c>
      <c r="K39" s="142"/>
      <c r="L39" s="161">
        <f t="shared" si="0"/>
        <v>2</v>
      </c>
      <c r="M39" s="145"/>
      <c r="N39" s="145"/>
      <c r="O39" s="146"/>
      <c r="P39" s="142"/>
      <c r="Q39" s="142" t="s">
        <v>32</v>
      </c>
      <c r="R39" s="142" t="s">
        <v>32</v>
      </c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</row>
    <row r="40" spans="1:30" s="147" customFormat="1" ht="22" customHeight="1">
      <c r="A40" s="148" t="s">
        <v>113</v>
      </c>
      <c r="B40" s="149" t="s">
        <v>2</v>
      </c>
      <c r="C40" s="149" t="s">
        <v>3</v>
      </c>
      <c r="D40" s="148" t="s">
        <v>98</v>
      </c>
      <c r="E40" s="148" t="s">
        <v>30</v>
      </c>
      <c r="F40" s="150">
        <v>2.0023148148148148E-3</v>
      </c>
      <c r="G40" s="148" t="s">
        <v>31</v>
      </c>
      <c r="H40" s="148"/>
      <c r="I40" s="148"/>
      <c r="J40" s="148" t="s">
        <v>33</v>
      </c>
      <c r="K40" s="148"/>
      <c r="L40" s="161">
        <f t="shared" si="0"/>
        <v>1</v>
      </c>
      <c r="M40" s="151"/>
      <c r="N40" s="151"/>
      <c r="O40" s="152"/>
      <c r="P40" s="148"/>
      <c r="Q40" s="148"/>
      <c r="R40" s="148"/>
      <c r="S40" s="148"/>
      <c r="T40" s="148"/>
      <c r="U40" s="148"/>
      <c r="V40" s="148"/>
      <c r="W40" s="148"/>
      <c r="X40" s="148" t="s">
        <v>32</v>
      </c>
      <c r="Y40" s="148"/>
      <c r="Z40" s="148"/>
      <c r="AA40" s="148"/>
      <c r="AB40" s="148"/>
      <c r="AC40" s="148"/>
      <c r="AD40" s="148"/>
    </row>
    <row r="41" spans="1:30" s="147" customFormat="1" ht="22" customHeight="1">
      <c r="A41" s="142" t="s">
        <v>114</v>
      </c>
      <c r="B41" s="154" t="s">
        <v>2</v>
      </c>
      <c r="C41" s="154" t="s">
        <v>3</v>
      </c>
      <c r="D41" s="142" t="s">
        <v>115</v>
      </c>
      <c r="E41" s="142" t="s">
        <v>30</v>
      </c>
      <c r="F41" s="144">
        <v>3.460648148148148E-3</v>
      </c>
      <c r="G41" s="142" t="s">
        <v>36</v>
      </c>
      <c r="H41" s="142"/>
      <c r="I41" s="142" t="s">
        <v>32</v>
      </c>
      <c r="J41" s="142" t="s">
        <v>69</v>
      </c>
      <c r="K41" s="142"/>
      <c r="L41" s="161">
        <f t="shared" si="0"/>
        <v>3</v>
      </c>
      <c r="M41" s="145"/>
      <c r="N41" s="145"/>
      <c r="O41" s="146"/>
      <c r="P41" s="142"/>
      <c r="Q41" s="142"/>
      <c r="R41" s="142"/>
      <c r="S41" s="142"/>
      <c r="T41" s="142"/>
      <c r="U41" s="142" t="s">
        <v>32</v>
      </c>
      <c r="V41" s="142" t="s">
        <v>32</v>
      </c>
      <c r="W41" s="142"/>
      <c r="X41" s="142"/>
      <c r="Y41" s="142" t="s">
        <v>32</v>
      </c>
      <c r="Z41" s="142"/>
      <c r="AA41" s="142"/>
      <c r="AB41" s="142"/>
      <c r="AC41" s="142"/>
      <c r="AD41" s="142"/>
    </row>
    <row r="42" spans="1:30" s="147" customFormat="1" ht="22" customHeight="1">
      <c r="A42" s="148" t="s">
        <v>116</v>
      </c>
      <c r="B42" s="149" t="s">
        <v>2</v>
      </c>
      <c r="C42" s="149" t="s">
        <v>3</v>
      </c>
      <c r="D42" s="148" t="s">
        <v>117</v>
      </c>
      <c r="E42" s="148" t="s">
        <v>30</v>
      </c>
      <c r="F42" s="150">
        <v>2.2569444444444442E-3</v>
      </c>
      <c r="G42" s="148" t="s">
        <v>36</v>
      </c>
      <c r="H42" s="148"/>
      <c r="I42" s="148" t="s">
        <v>32</v>
      </c>
      <c r="J42" s="148" t="s">
        <v>33</v>
      </c>
      <c r="K42" s="148"/>
      <c r="L42" s="161">
        <f t="shared" si="0"/>
        <v>6</v>
      </c>
      <c r="M42" s="151"/>
      <c r="N42" s="151"/>
      <c r="O42" s="152"/>
      <c r="P42" s="148"/>
      <c r="Q42" s="148"/>
      <c r="R42" s="148"/>
      <c r="S42" s="148"/>
      <c r="T42" s="148" t="s">
        <v>32</v>
      </c>
      <c r="U42" s="148" t="s">
        <v>32</v>
      </c>
      <c r="V42" s="148" t="s">
        <v>32</v>
      </c>
      <c r="W42" s="148"/>
      <c r="X42" s="148" t="s">
        <v>32</v>
      </c>
      <c r="Y42" s="148" t="s">
        <v>32</v>
      </c>
      <c r="Z42" s="148"/>
      <c r="AA42" s="148"/>
      <c r="AB42" s="148"/>
      <c r="AC42" s="148" t="s">
        <v>32</v>
      </c>
      <c r="AD42" s="148"/>
    </row>
    <row r="43" spans="1:30" s="147" customFormat="1" ht="22" customHeight="1">
      <c r="A43" s="142" t="s">
        <v>118</v>
      </c>
      <c r="B43" s="154" t="s">
        <v>2</v>
      </c>
      <c r="C43" s="154" t="s">
        <v>3</v>
      </c>
      <c r="D43" s="142" t="s">
        <v>119</v>
      </c>
      <c r="E43" s="142" t="s">
        <v>30</v>
      </c>
      <c r="F43" s="144">
        <v>3.472222222222222E-3</v>
      </c>
      <c r="G43" s="142" t="s">
        <v>36</v>
      </c>
      <c r="H43" s="142"/>
      <c r="I43" s="142"/>
      <c r="J43" s="142" t="s">
        <v>43</v>
      </c>
      <c r="K43" s="142"/>
      <c r="L43" s="161">
        <f t="shared" si="0"/>
        <v>2</v>
      </c>
      <c r="M43" s="145"/>
      <c r="N43" s="145"/>
      <c r="O43" s="146"/>
      <c r="P43" s="142"/>
      <c r="Q43" s="142"/>
      <c r="R43" s="142" t="s">
        <v>32</v>
      </c>
      <c r="S43" s="142"/>
      <c r="T43" s="142"/>
      <c r="U43" s="142"/>
      <c r="V43" s="142"/>
      <c r="W43" s="142"/>
      <c r="X43" s="142"/>
      <c r="Y43" s="142" t="s">
        <v>32</v>
      </c>
      <c r="Z43" s="142"/>
      <c r="AA43" s="142"/>
      <c r="AB43" s="142"/>
      <c r="AC43" s="142"/>
      <c r="AD43" s="142"/>
    </row>
    <row r="44" spans="1:30" s="147" customFormat="1" ht="22" customHeight="1">
      <c r="A44" s="148" t="s">
        <v>120</v>
      </c>
      <c r="B44" s="149" t="s">
        <v>2</v>
      </c>
      <c r="C44" s="149" t="s">
        <v>3</v>
      </c>
      <c r="D44" s="148" t="s">
        <v>53</v>
      </c>
      <c r="E44" s="148" t="s">
        <v>30</v>
      </c>
      <c r="F44" s="150">
        <v>2.0833333333333333E-3</v>
      </c>
      <c r="G44" s="148" t="s">
        <v>31</v>
      </c>
      <c r="H44" s="148"/>
      <c r="I44" s="148" t="s">
        <v>32</v>
      </c>
      <c r="J44" s="148" t="s">
        <v>33</v>
      </c>
      <c r="K44" s="148"/>
      <c r="L44" s="161">
        <f t="shared" si="0"/>
        <v>5</v>
      </c>
      <c r="M44" s="151"/>
      <c r="N44" s="151"/>
      <c r="O44" s="152"/>
      <c r="P44" s="148"/>
      <c r="Q44" s="148"/>
      <c r="R44" s="148"/>
      <c r="S44" s="148"/>
      <c r="T44" s="148" t="s">
        <v>32</v>
      </c>
      <c r="U44" s="148"/>
      <c r="V44" s="148" t="s">
        <v>32</v>
      </c>
      <c r="W44" s="148" t="s">
        <v>32</v>
      </c>
      <c r="X44" s="148" t="s">
        <v>32</v>
      </c>
      <c r="Y44" s="148"/>
      <c r="Z44" s="148"/>
      <c r="AA44" s="148"/>
      <c r="AB44" s="148"/>
      <c r="AC44" s="148" t="s">
        <v>32</v>
      </c>
      <c r="AD44" s="148"/>
    </row>
    <row r="45" spans="1:30" s="147" customFormat="1" ht="22" customHeight="1">
      <c r="A45" s="142" t="s">
        <v>121</v>
      </c>
      <c r="B45" s="154" t="s">
        <v>2</v>
      </c>
      <c r="C45" s="154" t="s">
        <v>3</v>
      </c>
      <c r="D45" s="142" t="s">
        <v>122</v>
      </c>
      <c r="E45" s="142" t="s">
        <v>30</v>
      </c>
      <c r="F45" s="144">
        <v>3.1250000000000002E-3</v>
      </c>
      <c r="G45" s="142" t="s">
        <v>31</v>
      </c>
      <c r="H45" s="142"/>
      <c r="I45" s="142"/>
      <c r="J45" s="142" t="s">
        <v>33</v>
      </c>
      <c r="K45" s="142" t="s">
        <v>32</v>
      </c>
      <c r="L45" s="161">
        <f t="shared" si="0"/>
        <v>0</v>
      </c>
      <c r="M45" s="145"/>
      <c r="N45" s="145"/>
      <c r="O45" s="146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</row>
    <row r="46" spans="1:30" s="147" customFormat="1" ht="22" customHeight="1">
      <c r="A46" s="148" t="s">
        <v>123</v>
      </c>
      <c r="B46" s="149" t="s">
        <v>2</v>
      </c>
      <c r="C46" s="149" t="s">
        <v>3</v>
      </c>
      <c r="D46" s="148" t="s">
        <v>93</v>
      </c>
      <c r="E46" s="148" t="s">
        <v>30</v>
      </c>
      <c r="F46" s="150">
        <v>3.3217592592592591E-3</v>
      </c>
      <c r="G46" s="148" t="s">
        <v>36</v>
      </c>
      <c r="H46" s="148"/>
      <c r="I46" s="148" t="s">
        <v>32</v>
      </c>
      <c r="J46" s="148" t="s">
        <v>33</v>
      </c>
      <c r="K46" s="148"/>
      <c r="L46" s="161">
        <f t="shared" si="0"/>
        <v>18</v>
      </c>
      <c r="M46" s="151" t="s">
        <v>32</v>
      </c>
      <c r="N46" s="151" t="s">
        <v>32</v>
      </c>
      <c r="O46" s="148" t="s">
        <v>32</v>
      </c>
      <c r="P46" s="148" t="s">
        <v>32</v>
      </c>
      <c r="Q46" s="148" t="s">
        <v>32</v>
      </c>
      <c r="R46" s="148" t="s">
        <v>32</v>
      </c>
      <c r="S46" s="148" t="s">
        <v>32</v>
      </c>
      <c r="T46" s="148" t="s">
        <v>32</v>
      </c>
      <c r="U46" s="148" t="s">
        <v>32</v>
      </c>
      <c r="V46" s="148" t="s">
        <v>32</v>
      </c>
      <c r="W46" s="148" t="s">
        <v>32</v>
      </c>
      <c r="X46" s="148" t="s">
        <v>32</v>
      </c>
      <c r="Y46" s="148" t="s">
        <v>32</v>
      </c>
      <c r="Z46" s="148" t="s">
        <v>32</v>
      </c>
      <c r="AA46" s="148" t="s">
        <v>32</v>
      </c>
      <c r="AB46" s="148" t="s">
        <v>32</v>
      </c>
      <c r="AC46" s="148" t="s">
        <v>32</v>
      </c>
      <c r="AD46" s="148" t="s">
        <v>32</v>
      </c>
    </row>
    <row r="47" spans="1:30" s="147" customFormat="1" ht="20" customHeight="1">
      <c r="A47" s="142" t="s">
        <v>124</v>
      </c>
      <c r="B47" s="157"/>
      <c r="C47" s="157"/>
      <c r="D47" s="142" t="s">
        <v>125</v>
      </c>
      <c r="E47" s="142" t="s">
        <v>30</v>
      </c>
      <c r="F47" s="144"/>
      <c r="G47" s="142" t="s">
        <v>126</v>
      </c>
      <c r="H47" s="142"/>
      <c r="I47" s="142"/>
      <c r="J47" s="142" t="s">
        <v>33</v>
      </c>
      <c r="K47" s="142"/>
      <c r="L47" s="161">
        <f t="shared" si="0"/>
        <v>1</v>
      </c>
      <c r="M47" s="145"/>
      <c r="N47" s="145"/>
      <c r="O47" s="146"/>
      <c r="P47" s="142"/>
      <c r="Q47" s="142"/>
      <c r="R47" s="142"/>
      <c r="S47" s="142"/>
      <c r="T47" s="142"/>
      <c r="U47" s="142"/>
      <c r="V47" s="142"/>
      <c r="W47" s="142" t="s">
        <v>32</v>
      </c>
      <c r="X47" s="142"/>
      <c r="Y47" s="142"/>
      <c r="Z47" s="142"/>
      <c r="AA47" s="142"/>
      <c r="AB47" s="142"/>
      <c r="AC47" s="142"/>
      <c r="AD47" s="142"/>
    </row>
    <row r="48" spans="1:30" s="147" customFormat="1" ht="17" customHeight="1">
      <c r="A48" s="148" t="s">
        <v>127</v>
      </c>
      <c r="B48" s="149" t="s">
        <v>2</v>
      </c>
      <c r="C48" s="149" t="s">
        <v>3</v>
      </c>
      <c r="D48" s="148" t="s">
        <v>128</v>
      </c>
      <c r="E48" s="148" t="s">
        <v>30</v>
      </c>
      <c r="F48" s="150">
        <v>2.0949074074074073E-3</v>
      </c>
      <c r="G48" s="148" t="s">
        <v>31</v>
      </c>
      <c r="H48" s="148"/>
      <c r="I48" s="148" t="s">
        <v>32</v>
      </c>
      <c r="J48" s="148" t="s">
        <v>56</v>
      </c>
      <c r="K48" s="148"/>
      <c r="L48" s="161">
        <f t="shared" si="0"/>
        <v>12</v>
      </c>
      <c r="M48" s="151" t="s">
        <v>32</v>
      </c>
      <c r="N48" s="151" t="s">
        <v>32</v>
      </c>
      <c r="O48" s="148" t="s">
        <v>32</v>
      </c>
      <c r="P48" s="148"/>
      <c r="Q48" s="148" t="s">
        <v>32</v>
      </c>
      <c r="R48" s="148" t="s">
        <v>32</v>
      </c>
      <c r="S48" s="148"/>
      <c r="T48" s="148"/>
      <c r="U48" s="148"/>
      <c r="V48" s="148" t="s">
        <v>32</v>
      </c>
      <c r="W48" s="148" t="s">
        <v>32</v>
      </c>
      <c r="X48" s="148"/>
      <c r="Y48" s="148" t="s">
        <v>32</v>
      </c>
      <c r="Z48" s="148"/>
      <c r="AA48" s="148" t="s">
        <v>32</v>
      </c>
      <c r="AB48" s="148" t="s">
        <v>32</v>
      </c>
      <c r="AC48" s="148" t="s">
        <v>32</v>
      </c>
      <c r="AD48" s="148" t="s">
        <v>32</v>
      </c>
    </row>
    <row r="49" spans="1:30">
      <c r="A49" s="7"/>
      <c r="B49" s="7"/>
      <c r="C49" s="7"/>
      <c r="D49" s="28"/>
      <c r="E49" s="28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N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4" bestFit="1" customWidth="1"/>
  </cols>
  <sheetData>
    <row r="1" spans="1:12" s="2" customFormat="1" ht="28" customHeight="1" thickTop="1" thickBot="1">
      <c r="A1" s="29" t="s">
        <v>129</v>
      </c>
      <c r="B1" s="26"/>
      <c r="C1" s="26"/>
      <c r="D1" s="26"/>
      <c r="E1" s="26"/>
      <c r="F1" s="26"/>
      <c r="G1" s="26"/>
      <c r="H1" s="26"/>
      <c r="I1" s="26"/>
      <c r="J1" s="26"/>
      <c r="K1" s="35"/>
      <c r="L1" s="26"/>
    </row>
    <row r="2" spans="1:12" s="2" customFormat="1" ht="22" customHeight="1" thickTop="1" thickBot="1">
      <c r="A2" s="36" t="s">
        <v>130</v>
      </c>
      <c r="B2" s="37" t="s">
        <v>131</v>
      </c>
      <c r="C2" s="36" t="s">
        <v>132</v>
      </c>
      <c r="D2" s="36" t="s">
        <v>133</v>
      </c>
      <c r="E2" s="36" t="s">
        <v>134</v>
      </c>
      <c r="F2" s="37" t="s">
        <v>135</v>
      </c>
      <c r="G2" s="36" t="s">
        <v>136</v>
      </c>
      <c r="H2" s="36" t="s">
        <v>137</v>
      </c>
      <c r="I2" s="36" t="s">
        <v>138</v>
      </c>
      <c r="J2" s="36" t="s">
        <v>139</v>
      </c>
      <c r="K2" s="38" t="s">
        <v>140</v>
      </c>
      <c r="L2" s="36" t="s">
        <v>141</v>
      </c>
    </row>
    <row r="3" spans="1:12" ht="22" customHeight="1" thickTop="1">
      <c r="A3" s="80" t="s">
        <v>142</v>
      </c>
      <c r="B3" s="11" t="s">
        <v>143</v>
      </c>
      <c r="C3" s="8" t="s">
        <v>144</v>
      </c>
      <c r="D3" s="8" t="s">
        <v>145</v>
      </c>
      <c r="E3" s="8">
        <v>10</v>
      </c>
      <c r="F3" s="11"/>
      <c r="G3" s="8"/>
      <c r="H3" s="8"/>
      <c r="I3" s="8"/>
      <c r="J3" s="8"/>
      <c r="K3" s="39"/>
      <c r="L3" s="8"/>
    </row>
    <row r="4" spans="1:12" ht="22" customHeight="1">
      <c r="A4" s="80" t="s">
        <v>146</v>
      </c>
      <c r="B4" s="12" t="s">
        <v>147</v>
      </c>
      <c r="C4" s="9" t="s">
        <v>148</v>
      </c>
      <c r="D4" s="9" t="s">
        <v>149</v>
      </c>
      <c r="E4" s="9">
        <v>11</v>
      </c>
      <c r="F4" s="12"/>
      <c r="G4" s="9"/>
      <c r="H4" s="9"/>
      <c r="I4" s="9"/>
      <c r="J4" s="9"/>
      <c r="K4" s="40"/>
      <c r="L4" s="9"/>
    </row>
    <row r="5" spans="1:12" ht="22" customHeight="1">
      <c r="A5" s="80" t="s">
        <v>150</v>
      </c>
      <c r="B5" s="12" t="s">
        <v>147</v>
      </c>
      <c r="C5" s="9" t="s">
        <v>151</v>
      </c>
      <c r="D5" s="9"/>
      <c r="E5" s="9">
        <v>16</v>
      </c>
      <c r="F5" s="12"/>
      <c r="G5" s="9" t="s">
        <v>151</v>
      </c>
      <c r="H5" s="9" t="s">
        <v>152</v>
      </c>
      <c r="I5" s="9"/>
      <c r="J5" s="9"/>
      <c r="K5" s="40"/>
      <c r="L5" s="9"/>
    </row>
    <row r="6" spans="1:12" ht="22" customHeight="1">
      <c r="A6" s="80" t="s">
        <v>153</v>
      </c>
      <c r="B6" s="12" t="s">
        <v>147</v>
      </c>
      <c r="C6" s="9" t="s">
        <v>154</v>
      </c>
      <c r="D6" s="9" t="s">
        <v>155</v>
      </c>
      <c r="E6" s="9">
        <v>11</v>
      </c>
      <c r="F6" s="12"/>
      <c r="G6" s="9" t="s">
        <v>156</v>
      </c>
      <c r="H6" s="9" t="s">
        <v>157</v>
      </c>
      <c r="I6" s="9"/>
      <c r="J6" s="9"/>
      <c r="K6" s="40">
        <v>100</v>
      </c>
      <c r="L6" s="9"/>
    </row>
    <row r="7" spans="1:12" ht="22" customHeight="1">
      <c r="A7" s="80" t="s">
        <v>158</v>
      </c>
      <c r="B7" s="12" t="s">
        <v>147</v>
      </c>
      <c r="C7" s="9" t="s">
        <v>151</v>
      </c>
      <c r="D7" s="9"/>
      <c r="E7" s="9">
        <v>21</v>
      </c>
      <c r="F7" s="12"/>
      <c r="G7" s="9" t="s">
        <v>151</v>
      </c>
      <c r="H7" s="9" t="s">
        <v>152</v>
      </c>
      <c r="I7" s="9"/>
      <c r="J7" s="9"/>
      <c r="K7" s="40"/>
      <c r="L7" s="9"/>
    </row>
    <row r="8" spans="1:12" ht="22" customHeight="1">
      <c r="A8" s="80" t="s">
        <v>159</v>
      </c>
      <c r="B8" s="12" t="s">
        <v>143</v>
      </c>
      <c r="C8" s="9" t="s">
        <v>144</v>
      </c>
      <c r="D8" s="9" t="s">
        <v>145</v>
      </c>
      <c r="E8" s="9">
        <v>26</v>
      </c>
      <c r="F8" s="12"/>
      <c r="G8" s="9"/>
      <c r="H8" s="9"/>
      <c r="I8" s="9"/>
      <c r="J8" s="9"/>
      <c r="K8" s="40"/>
      <c r="L8" s="9"/>
    </row>
    <row r="9" spans="1:12" ht="22" customHeight="1">
      <c r="A9" s="80" t="s">
        <v>160</v>
      </c>
      <c r="B9" s="12" t="s">
        <v>147</v>
      </c>
      <c r="C9" s="9" t="s">
        <v>151</v>
      </c>
      <c r="D9" s="9" t="s">
        <v>161</v>
      </c>
      <c r="E9" s="9">
        <v>11</v>
      </c>
      <c r="F9" s="12"/>
      <c r="G9" s="9" t="s">
        <v>151</v>
      </c>
      <c r="H9" s="9" t="s">
        <v>152</v>
      </c>
      <c r="I9" s="9"/>
      <c r="J9" s="9"/>
      <c r="K9" s="40"/>
      <c r="L9" s="9"/>
    </row>
    <row r="10" spans="1:12" ht="22" customHeight="1">
      <c r="A10" s="80" t="s">
        <v>162</v>
      </c>
      <c r="B10" s="12" t="s">
        <v>147</v>
      </c>
      <c r="C10" s="9" t="s">
        <v>148</v>
      </c>
      <c r="D10" s="9" t="s">
        <v>149</v>
      </c>
      <c r="E10" s="9">
        <v>13</v>
      </c>
      <c r="F10" s="12"/>
      <c r="G10" s="9"/>
      <c r="H10" s="9"/>
      <c r="I10" s="9"/>
      <c r="J10" s="9"/>
      <c r="K10" s="40"/>
      <c r="L10" s="9"/>
    </row>
    <row r="11" spans="1:12" ht="22" customHeight="1">
      <c r="A11" s="80" t="s">
        <v>163</v>
      </c>
      <c r="B11" s="12" t="s">
        <v>147</v>
      </c>
      <c r="C11" s="9" t="s">
        <v>151</v>
      </c>
      <c r="D11" s="9"/>
      <c r="E11" s="9">
        <v>19</v>
      </c>
      <c r="F11" s="12"/>
      <c r="G11" s="9" t="s">
        <v>151</v>
      </c>
      <c r="H11" s="9" t="s">
        <v>152</v>
      </c>
      <c r="I11" s="9"/>
      <c r="J11" s="9"/>
      <c r="K11" s="40"/>
      <c r="L11" s="9"/>
    </row>
    <row r="12" spans="1:12" ht="22" customHeight="1">
      <c r="A12" s="80" t="s">
        <v>164</v>
      </c>
      <c r="B12" s="12" t="s">
        <v>147</v>
      </c>
      <c r="C12" s="9" t="s">
        <v>165</v>
      </c>
      <c r="D12" s="9"/>
      <c r="E12" s="9">
        <v>28</v>
      </c>
      <c r="F12" s="12"/>
      <c r="G12" s="9"/>
      <c r="H12" s="9"/>
      <c r="I12" s="9"/>
      <c r="J12" s="9"/>
      <c r="K12" s="40"/>
      <c r="L12" s="9"/>
    </row>
    <row r="13" spans="1:12" ht="22" customHeight="1">
      <c r="A13" s="80" t="s">
        <v>166</v>
      </c>
      <c r="B13" s="12" t="s">
        <v>143</v>
      </c>
      <c r="C13" s="9" t="s">
        <v>144</v>
      </c>
      <c r="D13" s="9" t="s">
        <v>145</v>
      </c>
      <c r="E13" s="9">
        <v>14</v>
      </c>
      <c r="F13" s="12"/>
      <c r="G13" s="9"/>
      <c r="H13" s="9"/>
      <c r="I13" s="9"/>
      <c r="J13" s="9"/>
      <c r="K13" s="40"/>
      <c r="L13" s="9"/>
    </row>
    <row r="14" spans="1:12" ht="22" customHeight="1">
      <c r="A14" s="81" t="s">
        <v>167</v>
      </c>
      <c r="B14" s="12"/>
      <c r="C14" s="9" t="s">
        <v>168</v>
      </c>
      <c r="D14" s="9"/>
      <c r="E14" s="9"/>
      <c r="F14" s="12"/>
      <c r="G14" s="9" t="s">
        <v>169</v>
      </c>
      <c r="H14" s="9" t="s">
        <v>170</v>
      </c>
      <c r="I14" s="9"/>
      <c r="J14" s="9"/>
      <c r="K14" s="40"/>
      <c r="L14" s="9" t="s">
        <v>171</v>
      </c>
    </row>
    <row r="15" spans="1:12" ht="22" customHeight="1">
      <c r="A15" s="80" t="s">
        <v>172</v>
      </c>
      <c r="B15" s="12" t="s">
        <v>173</v>
      </c>
      <c r="C15" s="9" t="s">
        <v>174</v>
      </c>
      <c r="D15" s="9" t="s">
        <v>175</v>
      </c>
      <c r="E15" s="9">
        <v>13</v>
      </c>
      <c r="F15" s="12">
        <v>60</v>
      </c>
      <c r="G15" s="9" t="s">
        <v>176</v>
      </c>
      <c r="H15" s="9" t="s">
        <v>177</v>
      </c>
      <c r="I15" s="9" t="s">
        <v>178</v>
      </c>
      <c r="J15" s="9" t="s">
        <v>179</v>
      </c>
      <c r="K15" s="40"/>
      <c r="L15" s="9"/>
    </row>
    <row r="16" spans="1:12" ht="22" customHeight="1">
      <c r="A16" s="80" t="s">
        <v>180</v>
      </c>
      <c r="B16" s="12" t="s">
        <v>173</v>
      </c>
      <c r="C16" s="9" t="s">
        <v>181</v>
      </c>
      <c r="D16" s="9"/>
      <c r="E16" s="9">
        <v>31</v>
      </c>
      <c r="F16" s="12"/>
      <c r="G16" s="9" t="s">
        <v>181</v>
      </c>
      <c r="H16" s="9" t="s">
        <v>182</v>
      </c>
      <c r="I16" s="9"/>
      <c r="J16" s="9"/>
      <c r="K16" s="40"/>
      <c r="L16" s="9"/>
    </row>
    <row r="17" spans="1:12" ht="22" customHeight="1">
      <c r="A17" s="80" t="s">
        <v>183</v>
      </c>
      <c r="B17" s="12" t="s">
        <v>147</v>
      </c>
      <c r="C17" s="9" t="s">
        <v>165</v>
      </c>
      <c r="D17" s="9" t="s">
        <v>184</v>
      </c>
      <c r="E17" s="9">
        <v>10</v>
      </c>
      <c r="F17" s="12">
        <v>45</v>
      </c>
      <c r="G17" s="9"/>
      <c r="H17" s="9"/>
      <c r="I17" s="9"/>
      <c r="J17" s="9"/>
      <c r="K17" s="40"/>
      <c r="L17" s="9"/>
    </row>
    <row r="18" spans="1:12" ht="22" customHeight="1">
      <c r="A18" s="80" t="s">
        <v>185</v>
      </c>
      <c r="B18" s="12" t="s">
        <v>147</v>
      </c>
      <c r="C18" s="9" t="s">
        <v>148</v>
      </c>
      <c r="D18" s="9" t="s">
        <v>149</v>
      </c>
      <c r="E18" s="9">
        <v>16</v>
      </c>
      <c r="F18" s="12">
        <v>75</v>
      </c>
      <c r="G18" s="9"/>
      <c r="H18" s="9"/>
      <c r="I18" s="9"/>
      <c r="J18" s="9"/>
      <c r="K18" s="40"/>
      <c r="L18" s="9"/>
    </row>
    <row r="19" spans="1:12" ht="22" customHeight="1">
      <c r="A19" s="80" t="s">
        <v>186</v>
      </c>
      <c r="B19" s="12" t="s">
        <v>187</v>
      </c>
      <c r="C19" s="9" t="s">
        <v>151</v>
      </c>
      <c r="D19" s="9" t="s">
        <v>161</v>
      </c>
      <c r="E19" s="9">
        <v>16</v>
      </c>
      <c r="F19" s="12">
        <v>75</v>
      </c>
      <c r="G19" s="9" t="s">
        <v>151</v>
      </c>
      <c r="H19" s="9" t="s">
        <v>152</v>
      </c>
      <c r="I19" s="9" t="s">
        <v>188</v>
      </c>
      <c r="J19" s="9" t="s">
        <v>189</v>
      </c>
      <c r="K19" s="40"/>
      <c r="L19" s="9"/>
    </row>
    <row r="20" spans="1:12" ht="22" customHeight="1">
      <c r="A20" s="80" t="s">
        <v>190</v>
      </c>
      <c r="B20" s="12" t="s">
        <v>173</v>
      </c>
      <c r="C20" s="9" t="s">
        <v>151</v>
      </c>
      <c r="D20" s="9" t="s">
        <v>191</v>
      </c>
      <c r="E20" s="9"/>
      <c r="F20" s="12">
        <v>120</v>
      </c>
      <c r="G20" s="9" t="s">
        <v>151</v>
      </c>
      <c r="H20" s="9" t="s">
        <v>152</v>
      </c>
      <c r="I20" s="9" t="s">
        <v>192</v>
      </c>
      <c r="J20" s="9" t="s">
        <v>193</v>
      </c>
      <c r="K20" s="40">
        <v>250</v>
      </c>
      <c r="L20" s="9"/>
    </row>
    <row r="21" spans="1:12" ht="22" customHeight="1">
      <c r="A21" s="82">
        <v>46194</v>
      </c>
      <c r="B21" s="52">
        <v>0.70833333333333337</v>
      </c>
      <c r="C21" s="9" t="s">
        <v>154</v>
      </c>
      <c r="D21" s="9" t="s">
        <v>155</v>
      </c>
      <c r="E21" s="9">
        <v>15</v>
      </c>
      <c r="F21" s="12">
        <v>60</v>
      </c>
      <c r="G21" s="9" t="s">
        <v>156</v>
      </c>
      <c r="H21" s="9" t="s">
        <v>157</v>
      </c>
      <c r="I21" s="9"/>
      <c r="J21" s="9"/>
      <c r="K21" s="40"/>
      <c r="L21" s="9"/>
    </row>
    <row r="22" spans="1:12" ht="22" customHeight="1">
      <c r="A22" s="82">
        <v>46197</v>
      </c>
      <c r="B22" s="52">
        <v>0.75</v>
      </c>
      <c r="C22" s="9" t="s">
        <v>194</v>
      </c>
      <c r="D22" s="9"/>
      <c r="E22" s="9"/>
      <c r="F22" s="12"/>
      <c r="G22" s="9" t="s">
        <v>195</v>
      </c>
      <c r="H22" s="9" t="s">
        <v>196</v>
      </c>
      <c r="I22" s="9"/>
      <c r="J22" s="9"/>
      <c r="K22" s="40"/>
      <c r="L22" s="9"/>
    </row>
    <row r="23" spans="1:12" ht="22" customHeight="1">
      <c r="A23" s="83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6" customFormat="1" ht="28" customHeight="1" thickTop="1" thickBot="1">
      <c r="A1" s="29" t="s">
        <v>197</v>
      </c>
      <c r="B1" s="30"/>
      <c r="C1" s="30"/>
      <c r="D1" s="30"/>
      <c r="E1" s="30"/>
      <c r="F1" s="30"/>
      <c r="G1" s="30"/>
      <c r="H1" s="30"/>
    </row>
    <row r="2" spans="1:8" s="6" customFormat="1" ht="28" customHeight="1" thickTop="1" thickBot="1">
      <c r="A2" s="29" t="s">
        <v>198</v>
      </c>
      <c r="B2" s="31" t="s">
        <v>199</v>
      </c>
      <c r="C2" s="31" t="s">
        <v>200</v>
      </c>
      <c r="D2" s="31" t="s">
        <v>201</v>
      </c>
      <c r="E2" s="31" t="s">
        <v>202</v>
      </c>
      <c r="F2" s="31" t="s">
        <v>203</v>
      </c>
      <c r="G2" s="31"/>
      <c r="H2" s="31"/>
    </row>
    <row r="3" spans="1:8" ht="20" customHeight="1" thickTop="1">
      <c r="A3" s="8" t="s">
        <v>204</v>
      </c>
      <c r="B3" s="8" t="s">
        <v>53</v>
      </c>
      <c r="C3" s="8" t="s">
        <v>39</v>
      </c>
      <c r="D3" s="8" t="s">
        <v>33</v>
      </c>
      <c r="E3" s="8" t="s">
        <v>205</v>
      </c>
      <c r="F3" s="10" t="s">
        <v>206</v>
      </c>
      <c r="G3" s="10"/>
      <c r="H3" s="10"/>
    </row>
    <row r="4" spans="1:8" ht="20" customHeight="1">
      <c r="A4" s="9" t="s">
        <v>207</v>
      </c>
      <c r="B4" s="9" t="s">
        <v>208</v>
      </c>
      <c r="C4" s="9" t="s">
        <v>253</v>
      </c>
      <c r="D4" s="9" t="s">
        <v>40</v>
      </c>
      <c r="E4" s="9" t="s">
        <v>209</v>
      </c>
      <c r="F4" s="10" t="s">
        <v>210</v>
      </c>
      <c r="G4" s="10"/>
      <c r="H4" s="10"/>
    </row>
    <row r="5" spans="1:8" ht="20" customHeight="1">
      <c r="A5" s="9" t="s">
        <v>211</v>
      </c>
      <c r="B5" s="9" t="s">
        <v>212</v>
      </c>
      <c r="C5" s="9" t="s">
        <v>36</v>
      </c>
      <c r="D5" s="9" t="s">
        <v>69</v>
      </c>
      <c r="E5" s="9"/>
      <c r="F5" s="10" t="s">
        <v>213</v>
      </c>
      <c r="G5" s="10"/>
      <c r="H5" s="10"/>
    </row>
    <row r="6" spans="1:8" ht="20" customHeight="1">
      <c r="A6" s="9" t="s">
        <v>214</v>
      </c>
      <c r="B6" s="9" t="s">
        <v>215</v>
      </c>
      <c r="C6" s="9" t="s">
        <v>36</v>
      </c>
      <c r="D6" s="9" t="s">
        <v>40</v>
      </c>
      <c r="E6" s="9" t="s">
        <v>216</v>
      </c>
      <c r="F6" s="10" t="s">
        <v>217</v>
      </c>
      <c r="G6" s="10"/>
      <c r="H6" s="10"/>
    </row>
    <row r="7" spans="1:8" ht="17" customHeight="1">
      <c r="A7" s="10" t="s">
        <v>218</v>
      </c>
      <c r="B7" s="10" t="s">
        <v>219</v>
      </c>
      <c r="C7" s="10" t="s">
        <v>48</v>
      </c>
      <c r="D7" s="10"/>
      <c r="E7" s="10"/>
      <c r="F7" s="10" t="s">
        <v>220</v>
      </c>
      <c r="G7" s="10"/>
      <c r="H7" s="10"/>
    </row>
    <row r="8" spans="1:8" ht="17" customHeight="1">
      <c r="A8" s="5" t="s">
        <v>251</v>
      </c>
      <c r="B8" s="5" t="s">
        <v>252</v>
      </c>
      <c r="C8" s="5" t="s">
        <v>48</v>
      </c>
      <c r="D8" s="5"/>
      <c r="E8" s="5"/>
      <c r="F8" s="5"/>
      <c r="G8" s="5"/>
      <c r="H8" s="5"/>
    </row>
    <row r="9" spans="1:8" ht="17" customHeight="1">
      <c r="A9" s="5"/>
      <c r="B9" s="5"/>
      <c r="C9" s="5"/>
      <c r="D9" s="5"/>
      <c r="E9" s="5"/>
      <c r="F9" s="5"/>
      <c r="G9" s="5"/>
      <c r="H9" s="5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3" customFormat="1" ht="28" customHeight="1" thickTop="1" thickBot="1">
      <c r="A1" s="32" t="s">
        <v>221</v>
      </c>
      <c r="B1" s="33"/>
      <c r="C1" s="33"/>
      <c r="D1" s="33"/>
      <c r="E1" s="33"/>
      <c r="F1" s="33"/>
      <c r="G1" s="33"/>
    </row>
    <row r="2" spans="1:7" s="3" customFormat="1" ht="22" customHeight="1" thickTop="1" thickBot="1">
      <c r="A2" s="34" t="s">
        <v>132</v>
      </c>
      <c r="B2" s="34" t="s">
        <v>222</v>
      </c>
      <c r="C2" s="34" t="s">
        <v>223</v>
      </c>
      <c r="D2" s="34" t="s">
        <v>224</v>
      </c>
      <c r="E2" s="34" t="s">
        <v>225</v>
      </c>
      <c r="F2" s="34" t="s">
        <v>226</v>
      </c>
      <c r="G2" s="34" t="s">
        <v>141</v>
      </c>
    </row>
    <row r="3" spans="1:7" ht="22" customHeight="1" thickTop="1">
      <c r="A3" s="8" t="s">
        <v>227</v>
      </c>
      <c r="B3" s="8" t="s">
        <v>228</v>
      </c>
      <c r="C3" s="8" t="s">
        <v>229</v>
      </c>
      <c r="D3" s="8" t="s">
        <v>230</v>
      </c>
      <c r="E3" s="8"/>
      <c r="F3" s="8" t="s">
        <v>231</v>
      </c>
      <c r="G3" s="8" t="s">
        <v>232</v>
      </c>
    </row>
    <row r="4" spans="1:7" ht="22" customHeight="1">
      <c r="A4" s="9" t="s">
        <v>233</v>
      </c>
      <c r="B4" s="9" t="s">
        <v>234</v>
      </c>
      <c r="C4" s="9" t="s">
        <v>235</v>
      </c>
      <c r="D4" s="9" t="s">
        <v>236</v>
      </c>
      <c r="E4" s="9" t="s">
        <v>166</v>
      </c>
      <c r="F4" s="9" t="s">
        <v>231</v>
      </c>
      <c r="G4" s="9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84" customFormat="1" ht="28" customHeight="1" thickTop="1" thickBot="1">
      <c r="A1" s="25" t="s">
        <v>255</v>
      </c>
      <c r="B1" s="27"/>
      <c r="C1" s="27"/>
      <c r="D1" s="27"/>
      <c r="E1" s="27"/>
      <c r="F1" s="27"/>
      <c r="G1" s="27"/>
      <c r="H1" s="27"/>
    </row>
    <row r="2" spans="1:8" s="84" customFormat="1" ht="22" customHeight="1" thickTop="1" thickBot="1">
      <c r="A2" s="41" t="s">
        <v>130</v>
      </c>
      <c r="B2" s="41" t="s">
        <v>238</v>
      </c>
      <c r="C2" s="41" t="s">
        <v>239</v>
      </c>
      <c r="D2" s="41" t="s">
        <v>240</v>
      </c>
      <c r="E2" s="41" t="s">
        <v>141</v>
      </c>
      <c r="F2" s="27"/>
      <c r="G2" s="27"/>
      <c r="H2" s="27"/>
    </row>
    <row r="3" spans="1:8" ht="18" customHeight="1" thickTop="1">
      <c r="A3" s="85">
        <v>45486</v>
      </c>
      <c r="B3" s="86" t="s">
        <v>256</v>
      </c>
      <c r="C3" s="86" t="s">
        <v>154</v>
      </c>
      <c r="D3" s="87">
        <v>100</v>
      </c>
      <c r="E3" s="86"/>
      <c r="F3" s="86"/>
      <c r="G3" s="86"/>
      <c r="H3" s="86"/>
    </row>
    <row r="4" spans="1:8" ht="17" customHeight="1">
      <c r="A4" s="88">
        <v>46158</v>
      </c>
      <c r="B4" s="89" t="s">
        <v>256</v>
      </c>
      <c r="C4" s="89" t="s">
        <v>192</v>
      </c>
      <c r="D4" s="90">
        <v>250</v>
      </c>
      <c r="E4" s="89"/>
      <c r="F4" s="89"/>
      <c r="G4" s="89"/>
      <c r="H4" s="89"/>
    </row>
    <row r="5" spans="1:8" ht="17" customHeight="1">
      <c r="A5" s="89"/>
      <c r="B5" s="89"/>
      <c r="C5" s="89"/>
      <c r="D5" s="90"/>
      <c r="E5" s="89"/>
      <c r="F5" s="89"/>
      <c r="G5" s="89"/>
      <c r="H5" s="89"/>
    </row>
    <row r="6" spans="1:8" ht="17" customHeight="1">
      <c r="A6" s="89"/>
      <c r="B6" s="89"/>
      <c r="C6" s="89"/>
      <c r="D6" s="90"/>
      <c r="E6" s="89"/>
      <c r="F6" s="89"/>
      <c r="G6" s="89"/>
      <c r="H6" s="89"/>
    </row>
    <row r="7" spans="1:8" ht="17" customHeight="1">
      <c r="A7" s="89"/>
      <c r="B7" s="89"/>
      <c r="C7" s="89"/>
      <c r="D7" s="90"/>
      <c r="E7" s="89"/>
      <c r="F7" s="89"/>
      <c r="G7" s="89"/>
      <c r="H7" s="89"/>
    </row>
    <row r="8" spans="1:8" ht="17" customHeight="1">
      <c r="A8" s="89"/>
      <c r="B8" s="89"/>
      <c r="C8" s="89"/>
      <c r="D8" s="90"/>
      <c r="E8" s="89"/>
      <c r="F8" s="89"/>
      <c r="G8" s="89"/>
      <c r="H8" s="89"/>
    </row>
    <row r="9" spans="1:8" ht="17" customHeight="1">
      <c r="A9" s="89"/>
      <c r="B9" s="89"/>
      <c r="C9" s="89"/>
      <c r="D9" s="90"/>
      <c r="E9" s="89"/>
      <c r="F9" s="89"/>
      <c r="G9" s="89"/>
      <c r="H9" s="89"/>
    </row>
    <row r="10" spans="1:8" ht="17" customHeight="1">
      <c r="A10" s="89"/>
      <c r="B10" s="89"/>
      <c r="C10" s="89"/>
      <c r="D10" s="90"/>
      <c r="E10" s="89"/>
      <c r="F10" s="89"/>
      <c r="G10" s="89"/>
      <c r="H10" s="89"/>
    </row>
    <row r="11" spans="1:8" ht="17" customHeight="1">
      <c r="A11" s="89"/>
      <c r="B11" s="89"/>
      <c r="C11" s="89"/>
      <c r="D11" s="90"/>
      <c r="E11" s="89"/>
      <c r="F11" s="89"/>
      <c r="G11" s="89"/>
      <c r="H11" s="89"/>
    </row>
    <row r="12" spans="1:8" ht="17" customHeight="1">
      <c r="A12" s="89"/>
      <c r="B12" s="89"/>
      <c r="C12" s="89"/>
      <c r="D12" s="90"/>
      <c r="E12" s="89"/>
      <c r="F12" s="89"/>
      <c r="G12" s="89"/>
      <c r="H12" s="89"/>
    </row>
    <row r="13" spans="1:8" ht="17" customHeight="1">
      <c r="A13" s="89"/>
      <c r="B13" s="89"/>
      <c r="C13" s="89"/>
      <c r="D13" s="90"/>
      <c r="E13" s="89"/>
      <c r="F13" s="89"/>
      <c r="G13" s="89"/>
      <c r="H13" s="89"/>
    </row>
    <row r="14" spans="1:8" ht="17" customHeight="1">
      <c r="A14" s="89"/>
      <c r="B14" s="89"/>
      <c r="C14" s="89"/>
      <c r="D14" s="90"/>
      <c r="E14" s="89"/>
      <c r="F14" s="89"/>
      <c r="G14" s="89"/>
      <c r="H14" s="89"/>
    </row>
    <row r="15" spans="1:8" ht="17" customHeight="1">
      <c r="A15" s="89"/>
      <c r="B15" s="89"/>
      <c r="C15" s="89"/>
      <c r="D15" s="90"/>
      <c r="E15" s="89"/>
      <c r="F15" s="89"/>
      <c r="G15" s="89"/>
      <c r="H15" s="89"/>
    </row>
    <row r="16" spans="1:8" ht="17" customHeight="1">
      <c r="A16" s="89"/>
      <c r="B16" s="89"/>
      <c r="C16" s="89"/>
      <c r="D16" s="90"/>
      <c r="E16" s="89"/>
      <c r="F16" s="89"/>
      <c r="G16" s="89"/>
      <c r="H16" s="89"/>
    </row>
    <row r="17" spans="1:8" ht="17" customHeight="1">
      <c r="A17" s="89"/>
      <c r="B17" s="89"/>
      <c r="C17" s="89"/>
      <c r="D17" s="90"/>
      <c r="E17" s="89"/>
      <c r="F17" s="89"/>
      <c r="G17" s="89"/>
      <c r="H17" s="89"/>
    </row>
    <row r="18" spans="1:8" ht="17" customHeight="1">
      <c r="A18" s="89"/>
      <c r="B18" s="89"/>
      <c r="C18" s="89"/>
      <c r="D18" s="90"/>
      <c r="E18" s="89"/>
      <c r="F18" s="89"/>
      <c r="G18" s="89"/>
      <c r="H18" s="89"/>
    </row>
    <row r="19" spans="1:8" ht="17" customHeight="1">
      <c r="A19" s="89"/>
      <c r="B19" s="89"/>
      <c r="C19" s="89"/>
      <c r="D19" s="90"/>
      <c r="E19" s="89"/>
      <c r="F19" s="89"/>
      <c r="G19" s="89"/>
      <c r="H19" s="89"/>
    </row>
    <row r="20" spans="1:8" ht="17" customHeight="1">
      <c r="A20" s="89"/>
      <c r="B20" s="89"/>
      <c r="C20" s="89"/>
      <c r="D20" s="90"/>
      <c r="E20" s="89"/>
      <c r="F20" s="89"/>
      <c r="G20" s="89"/>
      <c r="H20" s="89"/>
    </row>
    <row r="21" spans="1:8" ht="17" customHeight="1">
      <c r="A21" s="89"/>
      <c r="B21" s="89"/>
      <c r="C21" s="89"/>
      <c r="D21" s="90"/>
      <c r="E21" s="89"/>
      <c r="F21" s="89"/>
      <c r="G21" s="89"/>
      <c r="H21" s="89"/>
    </row>
    <row r="22" spans="1:8" ht="17" customHeight="1">
      <c r="A22" s="89"/>
      <c r="B22" s="89"/>
      <c r="C22" s="89"/>
      <c r="D22" s="90"/>
      <c r="E22" s="89"/>
      <c r="F22" s="89"/>
      <c r="G22" s="89"/>
      <c r="H22" s="89"/>
    </row>
    <row r="23" spans="1:8" ht="17" customHeight="1">
      <c r="A23" s="89"/>
      <c r="B23" s="89"/>
      <c r="C23" s="89"/>
      <c r="D23" s="90"/>
      <c r="E23" s="89"/>
      <c r="F23" s="89"/>
      <c r="G23" s="89"/>
      <c r="H23" s="89"/>
    </row>
    <row r="24" spans="1:8" ht="17" customHeight="1">
      <c r="A24" s="89"/>
      <c r="B24" s="89"/>
      <c r="C24" s="89"/>
      <c r="D24" s="90"/>
      <c r="E24" s="89"/>
      <c r="F24" s="89"/>
      <c r="G24" s="89"/>
      <c r="H24" s="89"/>
    </row>
    <row r="25" spans="1:8" ht="17" customHeight="1">
      <c r="A25" s="89"/>
      <c r="B25" s="89"/>
      <c r="C25" s="89"/>
      <c r="D25" s="90"/>
      <c r="E25" s="89"/>
      <c r="F25" s="89"/>
      <c r="G25" s="89"/>
      <c r="H25" s="89"/>
    </row>
    <row r="26" spans="1:8" ht="17" customHeight="1">
      <c r="A26" s="89"/>
      <c r="B26" s="89"/>
      <c r="C26" s="89"/>
      <c r="D26" s="90"/>
      <c r="E26" s="89"/>
      <c r="F26" s="89"/>
      <c r="G26" s="89"/>
      <c r="H26" s="89"/>
    </row>
    <row r="27" spans="1:8" ht="16" customHeight="1">
      <c r="A27" s="91"/>
      <c r="B27" s="91"/>
      <c r="C27" s="91"/>
      <c r="D27" s="92"/>
      <c r="E27" s="91"/>
      <c r="F27" s="91"/>
      <c r="G27" s="91"/>
      <c r="H27" s="91"/>
    </row>
    <row r="28" spans="1:8">
      <c r="D28" s="93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1"/>
  <sheetViews>
    <sheetView tabSelected="1" workbookViewId="0">
      <pane ySplit="3" topLeftCell="A4" activePane="bottomLeft" state="frozen"/>
      <selection pane="bottomLeft" activeCell="F31" sqref="A1:F31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258</v>
      </c>
      <c r="B2" s="178"/>
      <c r="C2" s="178"/>
      <c r="D2" s="178"/>
      <c r="E2" s="178"/>
      <c r="F2" s="179"/>
    </row>
    <row r="3" spans="1:6" ht="22" customHeight="1" thickBo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17">
      <c r="A4" s="121">
        <v>1</v>
      </c>
      <c r="B4" s="122" t="s">
        <v>49</v>
      </c>
      <c r="C4" s="123" t="s">
        <v>2</v>
      </c>
      <c r="D4" s="124" t="s">
        <v>3</v>
      </c>
      <c r="E4" s="122" t="s">
        <v>31</v>
      </c>
      <c r="F4" s="125">
        <v>2.1875000000000002E-3</v>
      </c>
    </row>
    <row r="5" spans="1:6" ht="22" customHeight="1">
      <c r="A5" s="126">
        <v>2</v>
      </c>
      <c r="B5" s="127" t="s">
        <v>116</v>
      </c>
      <c r="C5" s="128" t="s">
        <v>2</v>
      </c>
      <c r="D5" s="129" t="s">
        <v>3</v>
      </c>
      <c r="E5" s="127" t="s">
        <v>36</v>
      </c>
      <c r="F5" s="130">
        <v>2.2569444444444399E-3</v>
      </c>
    </row>
    <row r="6" spans="1:6" ht="17">
      <c r="A6" s="126">
        <v>3</v>
      </c>
      <c r="B6" s="127" t="s">
        <v>87</v>
      </c>
      <c r="C6" s="128" t="s">
        <v>2</v>
      </c>
      <c r="D6" s="129" t="s">
        <v>3</v>
      </c>
      <c r="E6" s="127" t="s">
        <v>31</v>
      </c>
      <c r="F6" s="130">
        <v>2.6504629629629599E-3</v>
      </c>
    </row>
    <row r="7" spans="1:6" ht="17">
      <c r="A7" s="126">
        <v>4</v>
      </c>
      <c r="B7" s="127" t="s">
        <v>120</v>
      </c>
      <c r="C7" s="128" t="s">
        <v>2</v>
      </c>
      <c r="D7" s="129" t="s">
        <v>3</v>
      </c>
      <c r="E7" s="127" t="s">
        <v>31</v>
      </c>
      <c r="F7" s="130">
        <v>2.0833333333333298E-3</v>
      </c>
    </row>
    <row r="8" spans="1:6" ht="17">
      <c r="A8" s="126">
        <v>5</v>
      </c>
      <c r="B8" s="127" t="s">
        <v>92</v>
      </c>
      <c r="C8" s="128" t="s">
        <v>2</v>
      </c>
      <c r="D8" s="129" t="s">
        <v>3</v>
      </c>
      <c r="E8" s="127" t="s">
        <v>36</v>
      </c>
      <c r="F8" s="130">
        <v>2.04861111111111E-3</v>
      </c>
    </row>
    <row r="9" spans="1:6" ht="17">
      <c r="A9" s="126">
        <v>6</v>
      </c>
      <c r="B9" s="127" t="s">
        <v>44</v>
      </c>
      <c r="C9" s="128" t="s">
        <v>2</v>
      </c>
      <c r="D9" s="129" t="s">
        <v>3</v>
      </c>
      <c r="E9" s="127" t="s">
        <v>31</v>
      </c>
      <c r="F9" s="130">
        <v>3.4143518518518498E-3</v>
      </c>
    </row>
    <row r="10" spans="1:6" ht="17">
      <c r="A10" s="126">
        <v>7</v>
      </c>
      <c r="B10" s="127" t="s">
        <v>65</v>
      </c>
      <c r="C10" s="128" t="s">
        <v>2</v>
      </c>
      <c r="D10" s="129" t="s">
        <v>3</v>
      </c>
      <c r="E10" s="127" t="s">
        <v>36</v>
      </c>
      <c r="F10" s="130">
        <v>2.48842592592593E-3</v>
      </c>
    </row>
    <row r="11" spans="1:6" ht="17">
      <c r="A11" s="126">
        <v>8</v>
      </c>
      <c r="B11" s="127" t="s">
        <v>94</v>
      </c>
      <c r="C11" s="128" t="s">
        <v>2</v>
      </c>
      <c r="D11" s="129" t="s">
        <v>3</v>
      </c>
      <c r="E11" s="127" t="s">
        <v>39</v>
      </c>
      <c r="F11" s="130">
        <v>3.59953703703704E-3</v>
      </c>
    </row>
    <row r="12" spans="1:6" ht="17">
      <c r="A12" s="126">
        <v>9</v>
      </c>
      <c r="B12" s="127" t="s">
        <v>127</v>
      </c>
      <c r="C12" s="128" t="s">
        <v>2</v>
      </c>
      <c r="D12" s="129" t="s">
        <v>3</v>
      </c>
      <c r="E12" s="127" t="s">
        <v>31</v>
      </c>
      <c r="F12" s="130">
        <v>2.0949074074074099E-3</v>
      </c>
    </row>
    <row r="13" spans="1:6" ht="17">
      <c r="A13" s="126">
        <v>10</v>
      </c>
      <c r="B13" s="127" t="s">
        <v>245</v>
      </c>
      <c r="C13" s="131" t="s">
        <v>2</v>
      </c>
      <c r="D13" s="132" t="s">
        <v>3</v>
      </c>
      <c r="E13" s="127" t="s">
        <v>39</v>
      </c>
      <c r="F13" s="130">
        <v>2.5810185185185198E-3</v>
      </c>
    </row>
    <row r="14" spans="1:6" ht="17">
      <c r="A14" s="126">
        <v>11</v>
      </c>
      <c r="B14" s="127" t="s">
        <v>90</v>
      </c>
      <c r="C14" s="128" t="s">
        <v>2</v>
      </c>
      <c r="D14" s="129" t="s">
        <v>3</v>
      </c>
      <c r="E14" s="127" t="s">
        <v>36</v>
      </c>
      <c r="F14" s="130">
        <v>2.8587962962962998E-3</v>
      </c>
    </row>
    <row r="15" spans="1:6" ht="17">
      <c r="A15" s="126">
        <v>12</v>
      </c>
      <c r="B15" s="127" t="s">
        <v>70</v>
      </c>
      <c r="C15" s="128" t="s">
        <v>2</v>
      </c>
      <c r="D15" s="129" t="s">
        <v>3</v>
      </c>
      <c r="E15" s="127" t="s">
        <v>31</v>
      </c>
      <c r="F15" s="130">
        <v>2.4305555555555599E-3</v>
      </c>
    </row>
    <row r="16" spans="1:6" ht="17">
      <c r="A16" s="126">
        <v>13</v>
      </c>
      <c r="B16" s="127" t="s">
        <v>89</v>
      </c>
      <c r="C16" s="128" t="s">
        <v>2</v>
      </c>
      <c r="D16" s="129" t="s">
        <v>3</v>
      </c>
      <c r="E16" s="127" t="s">
        <v>48</v>
      </c>
      <c r="F16" s="130">
        <v>3.04398148148148E-3</v>
      </c>
    </row>
    <row r="17" spans="1:6" ht="17">
      <c r="A17" s="126">
        <v>14</v>
      </c>
      <c r="B17" s="127" t="s">
        <v>123</v>
      </c>
      <c r="C17" s="128" t="s">
        <v>2</v>
      </c>
      <c r="D17" s="129" t="s">
        <v>3</v>
      </c>
      <c r="E17" s="127" t="s">
        <v>36</v>
      </c>
      <c r="F17" s="130">
        <v>3.32175925925926E-3</v>
      </c>
    </row>
    <row r="18" spans="1:6" ht="17">
      <c r="A18" s="180" t="s">
        <v>246</v>
      </c>
      <c r="B18" s="181"/>
      <c r="C18" s="181"/>
      <c r="D18" s="181"/>
      <c r="E18" s="181"/>
      <c r="F18" s="182"/>
    </row>
    <row r="19" spans="1:6" ht="17">
      <c r="A19" s="126">
        <v>15</v>
      </c>
      <c r="B19" s="127" t="s">
        <v>41</v>
      </c>
      <c r="C19" s="133" t="s">
        <v>2</v>
      </c>
      <c r="D19" s="134" t="s">
        <v>3</v>
      </c>
      <c r="E19" s="127" t="s">
        <v>39</v>
      </c>
      <c r="F19" s="130">
        <v>2.71990740740741E-3</v>
      </c>
    </row>
    <row r="20" spans="1:6" ht="17">
      <c r="A20" s="135">
        <v>16</v>
      </c>
      <c r="B20" s="127" t="s">
        <v>63</v>
      </c>
      <c r="C20" s="128" t="s">
        <v>2</v>
      </c>
      <c r="D20" s="129" t="s">
        <v>3</v>
      </c>
      <c r="E20" s="127" t="s">
        <v>31</v>
      </c>
      <c r="F20" s="130">
        <v>2.7893518518518502E-3</v>
      </c>
    </row>
    <row r="21" spans="1:6" ht="17">
      <c r="A21" s="136">
        <v>17</v>
      </c>
      <c r="B21" s="127" t="s">
        <v>106</v>
      </c>
      <c r="C21" s="128" t="s">
        <v>2</v>
      </c>
      <c r="D21" s="129" t="s">
        <v>3</v>
      </c>
      <c r="E21" s="127" t="s">
        <v>36</v>
      </c>
      <c r="F21" s="130">
        <v>3.3680555555555599E-3</v>
      </c>
    </row>
    <row r="22" spans="1:6" ht="17">
      <c r="A22" s="126">
        <v>18</v>
      </c>
      <c r="B22" s="127" t="s">
        <v>99</v>
      </c>
      <c r="C22" s="128" t="s">
        <v>2</v>
      </c>
      <c r="D22" s="129" t="s">
        <v>3</v>
      </c>
      <c r="E22" s="127" t="s">
        <v>39</v>
      </c>
      <c r="F22" s="130">
        <v>2.9513888888888901E-3</v>
      </c>
    </row>
    <row r="23" spans="1:6" ht="17">
      <c r="A23" s="126">
        <v>19</v>
      </c>
      <c r="B23" s="127" t="s">
        <v>72</v>
      </c>
      <c r="C23" s="128" t="s">
        <v>2</v>
      </c>
      <c r="D23" s="129" t="s">
        <v>3</v>
      </c>
      <c r="E23" s="127" t="s">
        <v>36</v>
      </c>
      <c r="F23" s="130">
        <v>2.60416666666667E-3</v>
      </c>
    </row>
    <row r="24" spans="1:6" ht="17">
      <c r="A24" s="126">
        <v>20</v>
      </c>
      <c r="B24" s="127" t="s">
        <v>97</v>
      </c>
      <c r="C24" s="128" t="s">
        <v>2</v>
      </c>
      <c r="D24" s="129" t="s">
        <v>3</v>
      </c>
      <c r="E24" s="127" t="s">
        <v>31</v>
      </c>
      <c r="F24" s="130">
        <v>3.2291666666666701E-3</v>
      </c>
    </row>
    <row r="25" spans="1:6" ht="17">
      <c r="A25" s="126">
        <v>21</v>
      </c>
      <c r="B25" s="127" t="s">
        <v>54</v>
      </c>
      <c r="C25" s="128" t="s">
        <v>2</v>
      </c>
      <c r="D25" s="129" t="s">
        <v>3</v>
      </c>
      <c r="E25" s="127" t="s">
        <v>39</v>
      </c>
      <c r="F25" s="137">
        <v>2.7430555555555602E-3</v>
      </c>
    </row>
    <row r="26" spans="1:6" ht="17">
      <c r="A26" s="126">
        <v>22</v>
      </c>
      <c r="B26" s="127" t="s">
        <v>108</v>
      </c>
      <c r="C26" s="128" t="s">
        <v>2</v>
      </c>
      <c r="D26" s="129" t="s">
        <v>3</v>
      </c>
      <c r="E26" s="127" t="s">
        <v>36</v>
      </c>
      <c r="F26" s="130">
        <v>2.60416666666667E-3</v>
      </c>
    </row>
    <row r="27" spans="1:6" ht="17">
      <c r="A27" s="126">
        <v>23</v>
      </c>
      <c r="B27" s="127" t="s">
        <v>85</v>
      </c>
      <c r="C27" s="128" t="s">
        <v>2</v>
      </c>
      <c r="D27" s="129" t="s">
        <v>3</v>
      </c>
      <c r="E27" s="127" t="s">
        <v>48</v>
      </c>
      <c r="F27" s="130">
        <v>1.9791666666666699E-3</v>
      </c>
    </row>
    <row r="28" spans="1:6" ht="17">
      <c r="A28" s="126">
        <v>24</v>
      </c>
      <c r="B28" s="127" t="s">
        <v>78</v>
      </c>
      <c r="C28" s="128" t="s">
        <v>2</v>
      </c>
      <c r="D28" s="129" t="s">
        <v>3</v>
      </c>
      <c r="E28" s="127" t="s">
        <v>39</v>
      </c>
      <c r="F28" s="130">
        <v>2.5810185185185198E-3</v>
      </c>
    </row>
    <row r="29" spans="1:6" ht="18">
      <c r="A29" s="126">
        <v>25</v>
      </c>
      <c r="B29" s="138" t="s">
        <v>74</v>
      </c>
      <c r="C29" s="139" t="s">
        <v>2</v>
      </c>
      <c r="D29" s="140" t="s">
        <v>3</v>
      </c>
      <c r="E29" s="138" t="s">
        <v>39</v>
      </c>
      <c r="F29" s="141">
        <v>4.6874999999999998E-3</v>
      </c>
    </row>
    <row r="30" spans="1:6" ht="18" thickBot="1">
      <c r="A30" s="126">
        <v>26</v>
      </c>
      <c r="B30" s="127" t="s">
        <v>103</v>
      </c>
      <c r="C30" s="128" t="s">
        <v>2</v>
      </c>
      <c r="D30" s="129" t="s">
        <v>3</v>
      </c>
      <c r="E30" s="127" t="s">
        <v>31</v>
      </c>
      <c r="F30" s="130">
        <v>5.9606481481481498E-3</v>
      </c>
    </row>
    <row r="31" spans="1:6" ht="18" thickBot="1">
      <c r="A31" s="73"/>
      <c r="B31" s="74" t="s">
        <v>243</v>
      </c>
      <c r="C31" s="74"/>
      <c r="D31" s="74"/>
      <c r="E31" s="74"/>
      <c r="F31" s="75">
        <f>SUM(F4:F17,F19:F30)</f>
        <v>7.5277777777777805E-2</v>
      </c>
    </row>
  </sheetData>
  <mergeCells count="3">
    <mergeCell ref="A1:F1"/>
    <mergeCell ref="A2:F2"/>
    <mergeCell ref="A18:F18"/>
  </mergeCells>
  <conditionalFormatting sqref="A4:F16 B17:F17 A17:A18 A19:F28 A29 A30:F31">
    <cfRule type="expression" dxfId="3" priority="1">
      <formula>MOD(ROW(),2)=0</formula>
    </cfRule>
    <cfRule type="expression" dxfId="2" priority="2">
      <formula>MOD(ROW(),2)=1</formula>
    </cfRule>
  </conditionalFormatting>
  <hyperlinks>
    <hyperlink ref="C4" r:id="rId1" xr:uid="{EC37AE05-AE23-F147-9DF3-245467C36308}"/>
    <hyperlink ref="D4" r:id="rId2" xr:uid="{54C3C456-6E53-C64C-A473-889273EF4208}"/>
    <hyperlink ref="C20" r:id="rId3" xr:uid="{E7DB0BA7-22A6-F24E-833D-D6F58D44BB2C}"/>
    <hyperlink ref="D20" r:id="rId4" xr:uid="{0932434F-6367-3041-9166-0C30F354C7CA}"/>
    <hyperlink ref="C24" r:id="rId5" xr:uid="{8630A561-7D67-A841-88B2-99C3E83C782C}"/>
    <hyperlink ref="D24" r:id="rId6" xr:uid="{6DB1EE8F-66F3-B84F-91EB-46A989884CB8}"/>
    <hyperlink ref="C9" r:id="rId7" xr:uid="{41644C29-FD65-0541-83A3-AA2F8EEE150D}"/>
    <hyperlink ref="D9" r:id="rId8" xr:uid="{E92D43F2-7019-D340-AF33-745EBFF2F410}"/>
    <hyperlink ref="C7" r:id="rId9" xr:uid="{83BFE939-F60D-3149-9075-4FA18C9112E8}"/>
    <hyperlink ref="D7" r:id="rId10" xr:uid="{EE777688-2254-5946-9763-4CAA8E1863F0}"/>
    <hyperlink ref="C8" r:id="rId11" xr:uid="{498A4D96-FDB4-9642-84B9-12813D624A61}"/>
    <hyperlink ref="D8" r:id="rId12" xr:uid="{6D2A00B3-A88A-2B4F-B41C-17305E0CF5BC}"/>
    <hyperlink ref="C17" r:id="rId13" xr:uid="{D16465FA-7FE8-8444-8663-F24F0E5D5931}"/>
    <hyperlink ref="D17" r:id="rId14" xr:uid="{BFF66ECD-8A95-7746-BDE3-19636B7E36CD}"/>
    <hyperlink ref="C11" r:id="rId15" xr:uid="{463D1E41-7622-794F-918D-E147DDAC3A50}"/>
    <hyperlink ref="D11" r:id="rId16" xr:uid="{B0080081-41CF-C547-B008-ACA57DC4AD4F}"/>
    <hyperlink ref="C5" r:id="rId17" xr:uid="{922EBA1B-5EFA-5D47-8C09-A2B33F3FA43F}"/>
    <hyperlink ref="D5" r:id="rId18" xr:uid="{FD78E60A-F0CC-D448-BAB5-0C66EB9C7302}"/>
    <hyperlink ref="C13" r:id="rId19" xr:uid="{F843A1E9-8E28-2F42-8AEC-883DA8B2A60D}"/>
    <hyperlink ref="D13" r:id="rId20" xr:uid="{B30F62AF-4121-8740-B28E-E8855472A134}"/>
    <hyperlink ref="C14" r:id="rId21" xr:uid="{191C9765-CB0E-AE4E-9C54-ABC981D181FE}"/>
    <hyperlink ref="D14" r:id="rId22" xr:uid="{FC10BD12-29D2-F64B-9912-EF001ADA25AF}"/>
    <hyperlink ref="C15" r:id="rId23" xr:uid="{14FEEBC2-B98B-9941-BDEB-E93CF0A3C943}"/>
    <hyperlink ref="D15" r:id="rId24" xr:uid="{0155930C-4B0C-A146-A3A7-BA113F56A0D4}"/>
    <hyperlink ref="C16" r:id="rId25" xr:uid="{623BE193-65D2-AE41-8227-7630450C9382}"/>
    <hyperlink ref="D16" r:id="rId26" xr:uid="{4FF1142F-3754-CA4B-ABB9-81B5D009C306}"/>
    <hyperlink ref="C12" r:id="rId27" xr:uid="{B47A86FB-B52F-4648-BEA4-EB58EB978932}"/>
    <hyperlink ref="D12" r:id="rId28" xr:uid="{B0A5C150-F112-2245-ADF0-92785DF7587B}"/>
    <hyperlink ref="C19" r:id="rId29" xr:uid="{9E06ACB0-5333-9245-9FA9-4DA7ABD5A266}"/>
    <hyperlink ref="D19" r:id="rId30" xr:uid="{67891E03-E07D-464F-B4C0-1C9F3B3D0465}"/>
    <hyperlink ref="C21" r:id="rId31" xr:uid="{055AB0F2-8C7C-EA4F-9AEA-08BBD3A49121}"/>
    <hyperlink ref="D21" r:id="rId32" xr:uid="{CE4DA128-4B24-404A-A69F-2938C2024E88}"/>
    <hyperlink ref="C10" r:id="rId33" xr:uid="{D72CC147-A8D8-B841-A160-E8684FA29198}"/>
    <hyperlink ref="D10" r:id="rId34" xr:uid="{7A2AFBFD-7A25-404E-8281-1487F340E9C8}"/>
    <hyperlink ref="C23" r:id="rId35" xr:uid="{3AC08FF5-470C-3C4F-9D6C-3B4DFA2D68AD}"/>
    <hyperlink ref="D23" r:id="rId36" xr:uid="{299BE9CF-AEF3-4E40-9D00-8A8FD5EA6EB0}"/>
    <hyperlink ref="C28" r:id="rId37" xr:uid="{E0D5754E-39F8-FF40-B425-2B361FFBC144}"/>
    <hyperlink ref="D28" r:id="rId38" xr:uid="{EC53C915-37BC-7547-824D-EC558AC9A91C}"/>
    <hyperlink ref="C25" r:id="rId39" xr:uid="{21991486-357C-9742-982E-F35B36734CEE}"/>
    <hyperlink ref="D25" r:id="rId40" xr:uid="{25BDB477-BF34-DC4A-9413-6E62B325B4DB}"/>
    <hyperlink ref="C26" r:id="rId41" xr:uid="{1A7A4B55-FAAB-474F-A4EA-4D9125132EC6}"/>
    <hyperlink ref="D26" r:id="rId42" xr:uid="{4AB36A44-80AE-7640-BAA1-5C362BC512B6}"/>
    <hyperlink ref="C27" r:id="rId43" xr:uid="{B13A67AB-591A-8F41-B15D-D78D7D16CC55}"/>
    <hyperlink ref="D27" r:id="rId44" xr:uid="{187B0381-B15E-F042-AA6A-17F1D08F5992}"/>
    <hyperlink ref="C22" r:id="rId45" xr:uid="{BFE9BC57-5DF3-C242-AAE7-AF257654D8C9}"/>
    <hyperlink ref="D22" r:id="rId46" xr:uid="{1FFB77DB-C8CD-9648-99C3-F415CA0B46D7}"/>
    <hyperlink ref="C30" r:id="rId47" xr:uid="{B28B6480-5871-D546-8FA4-4B79FE4D455D}"/>
    <hyperlink ref="D30" r:id="rId48" xr:uid="{4B413FC0-F166-B14D-94B2-5B969F19C9BD}"/>
    <hyperlink ref="C29" r:id="rId49" xr:uid="{4956684D-4D78-144D-87F7-46FB91E3B15A}"/>
    <hyperlink ref="D29" r:id="rId50" xr:uid="{35F374C9-FB6B-364F-8407-EDC9DCEA44C7}"/>
    <hyperlink ref="C6" r:id="rId51" xr:uid="{0F5CA902-44A9-BB4E-AAC8-18F8001BCA29}"/>
    <hyperlink ref="D6" r:id="rId52" xr:uid="{596E0068-2C44-D040-A9B8-EF02842A8E07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workbookViewId="0">
      <pane ySplit="3" topLeftCell="A4" activePane="bottomLeft" state="frozen"/>
      <selection pane="bottomLeft" activeCell="E30" sqref="E30"/>
    </sheetView>
  </sheetViews>
  <sheetFormatPr baseColWidth="10" defaultColWidth="8.83203125" defaultRowHeight="15"/>
  <cols>
    <col min="1" max="1" width="4.83203125" style="13" customWidth="1"/>
    <col min="2" max="2" width="23.6640625" bestFit="1" customWidth="1"/>
    <col min="3" max="4" width="5.1640625" style="13" bestFit="1" customWidth="1"/>
    <col min="5" max="5" width="9.1640625" customWidth="1"/>
    <col min="6" max="6" width="11.83203125" style="13" customWidth="1"/>
  </cols>
  <sheetData>
    <row r="1" spans="1:6" ht="50" thickBot="1">
      <c r="A1" s="187" t="s">
        <v>83</v>
      </c>
      <c r="B1" s="188"/>
      <c r="C1" s="188"/>
      <c r="D1" s="188"/>
      <c r="E1" s="188"/>
      <c r="F1" s="189"/>
    </row>
    <row r="2" spans="1:6" ht="18" thickBot="1">
      <c r="A2" s="183" t="s">
        <v>275</v>
      </c>
      <c r="B2" s="184"/>
      <c r="C2" s="184"/>
      <c r="D2" s="184"/>
      <c r="E2" s="184"/>
      <c r="F2" s="185"/>
    </row>
    <row r="3" spans="1:6" ht="18" thickBot="1">
      <c r="A3" s="105" t="s">
        <v>241</v>
      </c>
      <c r="B3" s="106" t="s">
        <v>1</v>
      </c>
      <c r="C3" s="106" t="s">
        <v>2</v>
      </c>
      <c r="D3" s="106" t="s">
        <v>3</v>
      </c>
      <c r="E3" s="106" t="s">
        <v>242</v>
      </c>
      <c r="F3" s="107" t="s">
        <v>6</v>
      </c>
    </row>
    <row r="4" spans="1:6" ht="17">
      <c r="A4" s="98">
        <v>1</v>
      </c>
      <c r="B4" s="97" t="s">
        <v>49</v>
      </c>
      <c r="C4" s="109" t="s">
        <v>2</v>
      </c>
      <c r="D4" s="109" t="s">
        <v>3</v>
      </c>
      <c r="E4" s="97" t="s">
        <v>31</v>
      </c>
      <c r="F4" s="99">
        <f>VLOOKUP(B4,'Song Tracker'!$A$3:$F$48,6,FALSE)</f>
        <v>2.1875000000000002E-3</v>
      </c>
    </row>
    <row r="5" spans="1:6" ht="17">
      <c r="A5" s="100">
        <v>2</v>
      </c>
      <c r="B5" s="110" t="s">
        <v>99</v>
      </c>
      <c r="C5" s="111" t="s">
        <v>2</v>
      </c>
      <c r="D5" s="111" t="s">
        <v>3</v>
      </c>
      <c r="E5" s="110" t="s">
        <v>39</v>
      </c>
      <c r="F5" s="112">
        <f>VLOOKUP(B5,'Song Tracker'!$A$3:$F$48,6,FALSE)</f>
        <v>2.9513888888888888E-3</v>
      </c>
    </row>
    <row r="6" spans="1:6" ht="17">
      <c r="A6" s="102">
        <v>3</v>
      </c>
      <c r="B6" s="95" t="s">
        <v>44</v>
      </c>
      <c r="C6" s="113" t="s">
        <v>2</v>
      </c>
      <c r="D6" s="113" t="s">
        <v>3</v>
      </c>
      <c r="E6" s="95" t="s">
        <v>31</v>
      </c>
      <c r="F6" s="101">
        <f>VLOOKUP(B6,'Song Tracker'!$A$3:$F$48,6,FALSE)</f>
        <v>3.414351851851852E-3</v>
      </c>
    </row>
    <row r="7" spans="1:6" ht="17">
      <c r="A7" s="100">
        <v>4</v>
      </c>
      <c r="B7" s="110" t="s">
        <v>72</v>
      </c>
      <c r="C7" s="111" t="s">
        <v>2</v>
      </c>
      <c r="D7" s="111" t="s">
        <v>3</v>
      </c>
      <c r="E7" s="110" t="s">
        <v>36</v>
      </c>
      <c r="F7" s="112">
        <f>VLOOKUP(B7,'Song Tracker'!$A$3:$F$48,6,FALSE)</f>
        <v>2.6041666666666665E-3</v>
      </c>
    </row>
    <row r="8" spans="1:6" ht="17">
      <c r="A8" s="102">
        <v>5</v>
      </c>
      <c r="B8" s="95" t="s">
        <v>70</v>
      </c>
      <c r="C8" s="113" t="s">
        <v>2</v>
      </c>
      <c r="D8" s="113" t="s">
        <v>3</v>
      </c>
      <c r="E8" s="95" t="s">
        <v>31</v>
      </c>
      <c r="F8" s="101">
        <f>VLOOKUP(B8,'Song Tracker'!$A$3:$F$48,6,FALSE)</f>
        <v>2.4305555555555556E-3</v>
      </c>
    </row>
    <row r="9" spans="1:6" ht="17">
      <c r="A9" s="100">
        <v>6</v>
      </c>
      <c r="B9" s="110" t="s">
        <v>78</v>
      </c>
      <c r="C9" s="111" t="s">
        <v>2</v>
      </c>
      <c r="D9" s="111" t="s">
        <v>3</v>
      </c>
      <c r="E9" s="110" t="s">
        <v>39</v>
      </c>
      <c r="F9" s="112">
        <f>VLOOKUP(B9,'Song Tracker'!$A$3:$F$48,6,FALSE)</f>
        <v>2.5810185185185185E-3</v>
      </c>
    </row>
    <row r="10" spans="1:6" ht="17">
      <c r="A10" s="102">
        <v>7</v>
      </c>
      <c r="B10" s="95" t="s">
        <v>108</v>
      </c>
      <c r="C10" s="113" t="s">
        <v>2</v>
      </c>
      <c r="D10" s="113" t="s">
        <v>3</v>
      </c>
      <c r="E10" s="95" t="s">
        <v>36</v>
      </c>
      <c r="F10" s="101">
        <f>VLOOKUP(B10,'Song Tracker'!$A$3:$F$48,6,FALSE)</f>
        <v>2.6041666666666665E-3</v>
      </c>
    </row>
    <row r="11" spans="1:6" ht="17">
      <c r="A11" s="100">
        <v>8</v>
      </c>
      <c r="B11" s="110" t="s">
        <v>85</v>
      </c>
      <c r="C11" s="111" t="s">
        <v>2</v>
      </c>
      <c r="D11" s="111" t="s">
        <v>3</v>
      </c>
      <c r="E11" s="110" t="s">
        <v>48</v>
      </c>
      <c r="F11" s="112">
        <f>VLOOKUP(B11,'Song Tracker'!$A$3:$F$48,6,FALSE)</f>
        <v>1.9791666666666668E-3</v>
      </c>
    </row>
    <row r="12" spans="1:6" ht="17">
      <c r="A12" s="102">
        <v>9</v>
      </c>
      <c r="B12" s="95" t="s">
        <v>106</v>
      </c>
      <c r="C12" s="113" t="s">
        <v>2</v>
      </c>
      <c r="D12" s="113" t="s">
        <v>3</v>
      </c>
      <c r="E12" s="95" t="s">
        <v>36</v>
      </c>
      <c r="F12" s="101">
        <f>VLOOKUP(B12,'Song Tracker'!$A$3:$F$48,6,FALSE)</f>
        <v>3.3680555555555556E-3</v>
      </c>
    </row>
    <row r="13" spans="1:6" ht="17">
      <c r="A13" s="100">
        <v>10</v>
      </c>
      <c r="B13" s="110" t="s">
        <v>63</v>
      </c>
      <c r="C13" s="111" t="s">
        <v>2</v>
      </c>
      <c r="D13" s="111" t="s">
        <v>3</v>
      </c>
      <c r="E13" s="110" t="s">
        <v>31</v>
      </c>
      <c r="F13" s="112">
        <f>VLOOKUP(B13,'Song Tracker'!$A$3:$F$48,6,FALSE)</f>
        <v>2.7893518518518519E-3</v>
      </c>
    </row>
    <row r="14" spans="1:6" ht="17">
      <c r="A14" s="102">
        <v>11</v>
      </c>
      <c r="B14" s="95" t="s">
        <v>245</v>
      </c>
      <c r="C14" s="113" t="s">
        <v>2</v>
      </c>
      <c r="D14" s="113" t="s">
        <v>3</v>
      </c>
      <c r="E14" s="95" t="s">
        <v>39</v>
      </c>
      <c r="F14" s="101">
        <f>VLOOKUP(B14,'Song Tracker'!$A$3:$F$48,6,FALSE)</f>
        <v>2.5810185185185185E-3</v>
      </c>
    </row>
    <row r="15" spans="1:6" ht="17">
      <c r="A15" s="100">
        <v>12</v>
      </c>
      <c r="B15" s="110" t="s">
        <v>90</v>
      </c>
      <c r="C15" s="111" t="s">
        <v>2</v>
      </c>
      <c r="D15" s="111" t="s">
        <v>3</v>
      </c>
      <c r="E15" s="110" t="s">
        <v>36</v>
      </c>
      <c r="F15" s="112">
        <f>VLOOKUP(B15,'Song Tracker'!$A$3:$F$48,6,FALSE)</f>
        <v>2.8587962962962963E-3</v>
      </c>
    </row>
    <row r="16" spans="1:6" ht="17">
      <c r="A16" s="102">
        <v>13</v>
      </c>
      <c r="B16" s="95" t="s">
        <v>127</v>
      </c>
      <c r="C16" s="113" t="s">
        <v>2</v>
      </c>
      <c r="D16" s="113" t="s">
        <v>3</v>
      </c>
      <c r="E16" s="95" t="s">
        <v>31</v>
      </c>
      <c r="F16" s="101">
        <f>VLOOKUP(B16,'Song Tracker'!$A$3:$F$48,6,FALSE)</f>
        <v>2.0949074074074073E-3</v>
      </c>
    </row>
    <row r="17" spans="1:6" ht="17">
      <c r="A17" s="100">
        <v>14</v>
      </c>
      <c r="B17" s="110" t="s">
        <v>54</v>
      </c>
      <c r="C17" s="111" t="s">
        <v>2</v>
      </c>
      <c r="D17" s="111" t="s">
        <v>3</v>
      </c>
      <c r="E17" s="110" t="s">
        <v>39</v>
      </c>
      <c r="F17" s="112">
        <f>VLOOKUP(B17,'Song Tracker'!$A$3:$F$48,6,FALSE)</f>
        <v>2.7430555555555554E-3</v>
      </c>
    </row>
    <row r="18" spans="1:6" ht="18" thickBot="1">
      <c r="A18" s="103">
        <v>15</v>
      </c>
      <c r="B18" s="96" t="s">
        <v>123</v>
      </c>
      <c r="C18" s="114" t="s">
        <v>2</v>
      </c>
      <c r="D18" s="114" t="s">
        <v>3</v>
      </c>
      <c r="E18" s="96" t="s">
        <v>36</v>
      </c>
      <c r="F18" s="104">
        <f>VLOOKUP(B18,'Song Tracker'!$A$3:$F$48,6,FALSE)</f>
        <v>3.3217592592592591E-3</v>
      </c>
    </row>
    <row r="19" spans="1:6" ht="18" thickBot="1">
      <c r="A19" s="94"/>
      <c r="B19" s="186" t="s">
        <v>243</v>
      </c>
      <c r="C19" s="186"/>
      <c r="D19" s="186"/>
      <c r="E19" s="186"/>
      <c r="F19" s="108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3:F30"/>
    </sheetView>
  </sheetViews>
  <sheetFormatPr baseColWidth="10" defaultColWidth="8.83203125" defaultRowHeight="15"/>
  <cols>
    <col min="1" max="1" width="4.83203125" style="13" customWidth="1"/>
    <col min="2" max="2" width="30.83203125" bestFit="1" customWidth="1"/>
    <col min="3" max="4" width="7.5" style="13" customWidth="1"/>
    <col min="5" max="5" width="9.1640625" bestFit="1" customWidth="1"/>
    <col min="6" max="6" width="11.83203125" style="13" bestFit="1" customWidth="1"/>
  </cols>
  <sheetData>
    <row r="1" spans="1:6" ht="30" customHeight="1">
      <c r="A1" s="190" t="s">
        <v>244</v>
      </c>
      <c r="B1" s="191"/>
      <c r="C1" s="191"/>
      <c r="D1" s="191"/>
      <c r="E1" s="191"/>
      <c r="F1" s="192"/>
    </row>
    <row r="2" spans="1:6" ht="22" customHeight="1" thickBot="1">
      <c r="A2" s="54" t="s">
        <v>241</v>
      </c>
      <c r="B2" s="55" t="s">
        <v>1</v>
      </c>
      <c r="C2" s="55" t="s">
        <v>2</v>
      </c>
      <c r="D2" s="55" t="s">
        <v>3</v>
      </c>
      <c r="E2" s="55" t="s">
        <v>242</v>
      </c>
      <c r="F2" s="56" t="s">
        <v>6</v>
      </c>
    </row>
    <row r="3" spans="1:6" ht="22" customHeight="1">
      <c r="A3" s="57">
        <v>1</v>
      </c>
      <c r="B3" s="58" t="s">
        <v>49</v>
      </c>
      <c r="C3" s="59" t="s">
        <v>2</v>
      </c>
      <c r="D3" s="60" t="s">
        <v>3</v>
      </c>
      <c r="E3" s="58" t="s">
        <v>31</v>
      </c>
      <c r="F3" s="61">
        <v>2.1875000000000002E-3</v>
      </c>
    </row>
    <row r="4" spans="1:6" ht="22" customHeight="1">
      <c r="A4" s="62">
        <v>2</v>
      </c>
      <c r="B4" s="63" t="s">
        <v>116</v>
      </c>
      <c r="C4" s="64" t="s">
        <v>2</v>
      </c>
      <c r="D4" s="65" t="s">
        <v>3</v>
      </c>
      <c r="E4" s="63" t="s">
        <v>36</v>
      </c>
      <c r="F4" s="53">
        <v>2.2569444444444399E-3</v>
      </c>
    </row>
    <row r="5" spans="1:6" ht="22" customHeight="1">
      <c r="A5" s="62">
        <v>3</v>
      </c>
      <c r="B5" s="63" t="s">
        <v>87</v>
      </c>
      <c r="C5" s="64" t="s">
        <v>2</v>
      </c>
      <c r="D5" s="65" t="s">
        <v>3</v>
      </c>
      <c r="E5" s="63" t="s">
        <v>31</v>
      </c>
      <c r="F5" s="53">
        <v>2.6504629629629599E-3</v>
      </c>
    </row>
    <row r="6" spans="1:6" ht="22" customHeight="1">
      <c r="A6" s="62">
        <v>4</v>
      </c>
      <c r="B6" s="63" t="s">
        <v>120</v>
      </c>
      <c r="C6" s="64" t="s">
        <v>2</v>
      </c>
      <c r="D6" s="65" t="s">
        <v>3</v>
      </c>
      <c r="E6" s="63" t="s">
        <v>31</v>
      </c>
      <c r="F6" s="53">
        <v>2.0833333333333298E-3</v>
      </c>
    </row>
    <row r="7" spans="1:6" ht="22" customHeight="1">
      <c r="A7" s="62">
        <v>5</v>
      </c>
      <c r="B7" s="63" t="s">
        <v>92</v>
      </c>
      <c r="C7" s="64" t="s">
        <v>2</v>
      </c>
      <c r="D7" s="65" t="s">
        <v>3</v>
      </c>
      <c r="E7" s="63" t="s">
        <v>36</v>
      </c>
      <c r="F7" s="53">
        <v>2.04861111111111E-3</v>
      </c>
    </row>
    <row r="8" spans="1:6" ht="22" customHeight="1">
      <c r="A8" s="62">
        <v>6</v>
      </c>
      <c r="B8" s="63" t="s">
        <v>44</v>
      </c>
      <c r="C8" s="64" t="s">
        <v>2</v>
      </c>
      <c r="D8" s="65" t="s">
        <v>3</v>
      </c>
      <c r="E8" s="63" t="s">
        <v>31</v>
      </c>
      <c r="F8" s="53">
        <v>3.4143518518518498E-3</v>
      </c>
    </row>
    <row r="9" spans="1:6" ht="22" customHeight="1">
      <c r="A9" s="62">
        <v>7</v>
      </c>
      <c r="B9" s="63" t="s">
        <v>65</v>
      </c>
      <c r="C9" s="64" t="s">
        <v>2</v>
      </c>
      <c r="D9" s="65" t="s">
        <v>3</v>
      </c>
      <c r="E9" s="63" t="s">
        <v>36</v>
      </c>
      <c r="F9" s="53">
        <v>2.48842592592593E-3</v>
      </c>
    </row>
    <row r="10" spans="1:6" ht="22" customHeight="1">
      <c r="A10" s="62">
        <v>8</v>
      </c>
      <c r="B10" s="63" t="s">
        <v>94</v>
      </c>
      <c r="C10" s="64" t="s">
        <v>2</v>
      </c>
      <c r="D10" s="65" t="s">
        <v>3</v>
      </c>
      <c r="E10" s="63" t="s">
        <v>39</v>
      </c>
      <c r="F10" s="53">
        <v>3.59953703703704E-3</v>
      </c>
    </row>
    <row r="11" spans="1:6" ht="22" customHeight="1">
      <c r="A11" s="62">
        <v>9</v>
      </c>
      <c r="B11" s="63" t="s">
        <v>127</v>
      </c>
      <c r="C11" s="64" t="s">
        <v>2</v>
      </c>
      <c r="D11" s="65" t="s">
        <v>3</v>
      </c>
      <c r="E11" s="63" t="s">
        <v>31</v>
      </c>
      <c r="F11" s="53">
        <v>2.0949074074074099E-3</v>
      </c>
    </row>
    <row r="12" spans="1:6" ht="22" customHeight="1">
      <c r="A12" s="62">
        <v>10</v>
      </c>
      <c r="B12" s="63" t="s">
        <v>245</v>
      </c>
      <c r="C12" s="66" t="s">
        <v>2</v>
      </c>
      <c r="D12" s="67" t="s">
        <v>3</v>
      </c>
      <c r="E12" s="63" t="s">
        <v>39</v>
      </c>
      <c r="F12" s="53">
        <v>2.5810185185185198E-3</v>
      </c>
    </row>
    <row r="13" spans="1:6" ht="22" customHeight="1">
      <c r="A13" s="62">
        <v>11</v>
      </c>
      <c r="B13" s="63" t="s">
        <v>90</v>
      </c>
      <c r="C13" s="64" t="s">
        <v>2</v>
      </c>
      <c r="D13" s="65" t="s">
        <v>3</v>
      </c>
      <c r="E13" s="63" t="s">
        <v>36</v>
      </c>
      <c r="F13" s="53">
        <v>2.8587962962962998E-3</v>
      </c>
    </row>
    <row r="14" spans="1:6" ht="22" customHeight="1">
      <c r="A14" s="62">
        <v>12</v>
      </c>
      <c r="B14" s="63" t="s">
        <v>70</v>
      </c>
      <c r="C14" s="64" t="s">
        <v>2</v>
      </c>
      <c r="D14" s="65" t="s">
        <v>3</v>
      </c>
      <c r="E14" s="63" t="s">
        <v>31</v>
      </c>
      <c r="F14" s="53">
        <v>2.4305555555555599E-3</v>
      </c>
    </row>
    <row r="15" spans="1:6" ht="22" customHeight="1">
      <c r="A15" s="62">
        <v>13</v>
      </c>
      <c r="B15" s="63" t="s">
        <v>89</v>
      </c>
      <c r="C15" s="64" t="s">
        <v>2</v>
      </c>
      <c r="D15" s="65" t="s">
        <v>3</v>
      </c>
      <c r="E15" s="63" t="s">
        <v>48</v>
      </c>
      <c r="F15" s="53">
        <v>3.04398148148148E-3</v>
      </c>
    </row>
    <row r="16" spans="1:6" ht="22" customHeight="1">
      <c r="A16" s="62">
        <v>14</v>
      </c>
      <c r="B16" s="63" t="s">
        <v>123</v>
      </c>
      <c r="C16" s="64" t="s">
        <v>2</v>
      </c>
      <c r="D16" s="65" t="s">
        <v>3</v>
      </c>
      <c r="E16" s="63" t="s">
        <v>36</v>
      </c>
      <c r="F16" s="53">
        <v>3.32175925925926E-3</v>
      </c>
    </row>
    <row r="17" spans="1:6" ht="22" customHeight="1">
      <c r="A17" s="193" t="s">
        <v>246</v>
      </c>
      <c r="B17" s="194"/>
      <c r="C17" s="194"/>
      <c r="D17" s="194"/>
      <c r="E17" s="194"/>
      <c r="F17" s="195"/>
    </row>
    <row r="18" spans="1:6" ht="22" customHeight="1">
      <c r="A18" s="62">
        <v>15</v>
      </c>
      <c r="B18" s="63" t="s">
        <v>41</v>
      </c>
      <c r="C18" s="68" t="s">
        <v>2</v>
      </c>
      <c r="D18" s="69" t="s">
        <v>3</v>
      </c>
      <c r="E18" s="63" t="s">
        <v>39</v>
      </c>
      <c r="F18" s="53">
        <v>2.71990740740741E-3</v>
      </c>
    </row>
    <row r="19" spans="1:6" ht="17" customHeight="1">
      <c r="A19" s="70">
        <v>16</v>
      </c>
      <c r="B19" s="63" t="s">
        <v>63</v>
      </c>
      <c r="C19" s="64" t="s">
        <v>2</v>
      </c>
      <c r="D19" s="65" t="s">
        <v>3</v>
      </c>
      <c r="E19" s="63" t="s">
        <v>31</v>
      </c>
      <c r="F19" s="53">
        <v>2.7893518518518502E-3</v>
      </c>
    </row>
    <row r="20" spans="1:6" ht="22" customHeight="1">
      <c r="A20" s="71">
        <v>17</v>
      </c>
      <c r="B20" s="63" t="s">
        <v>106</v>
      </c>
      <c r="C20" s="64" t="s">
        <v>2</v>
      </c>
      <c r="D20" s="65" t="s">
        <v>3</v>
      </c>
      <c r="E20" s="63" t="s">
        <v>36</v>
      </c>
      <c r="F20" s="53">
        <v>3.3680555555555599E-3</v>
      </c>
    </row>
    <row r="21" spans="1:6" ht="17" customHeight="1">
      <c r="A21" s="62">
        <v>18</v>
      </c>
      <c r="B21" s="63" t="s">
        <v>99</v>
      </c>
      <c r="C21" s="64" t="s">
        <v>2</v>
      </c>
      <c r="D21" s="65" t="s">
        <v>3</v>
      </c>
      <c r="E21" s="63" t="s">
        <v>39</v>
      </c>
      <c r="F21" s="53">
        <v>2.9513888888888901E-3</v>
      </c>
    </row>
    <row r="22" spans="1:6" ht="17" customHeight="1">
      <c r="A22" s="62">
        <v>19</v>
      </c>
      <c r="B22" s="63" t="s">
        <v>72</v>
      </c>
      <c r="C22" s="64" t="s">
        <v>2</v>
      </c>
      <c r="D22" s="65" t="s">
        <v>3</v>
      </c>
      <c r="E22" s="63" t="s">
        <v>36</v>
      </c>
      <c r="F22" s="53">
        <v>2.60416666666667E-3</v>
      </c>
    </row>
    <row r="23" spans="1:6" ht="17" customHeight="1">
      <c r="A23" s="62">
        <v>20</v>
      </c>
      <c r="B23" s="63" t="s">
        <v>97</v>
      </c>
      <c r="C23" s="64" t="s">
        <v>2</v>
      </c>
      <c r="D23" s="65" t="s">
        <v>3</v>
      </c>
      <c r="E23" s="63" t="s">
        <v>31</v>
      </c>
      <c r="F23" s="53">
        <v>3.2291666666666701E-3</v>
      </c>
    </row>
    <row r="24" spans="1:6" ht="17" customHeight="1">
      <c r="A24" s="62">
        <v>21</v>
      </c>
      <c r="B24" s="63" t="s">
        <v>54</v>
      </c>
      <c r="C24" s="64" t="s">
        <v>2</v>
      </c>
      <c r="D24" s="65" t="s">
        <v>3</v>
      </c>
      <c r="E24" s="63" t="s">
        <v>39</v>
      </c>
      <c r="F24" s="72">
        <v>2.7430555555555602E-3</v>
      </c>
    </row>
    <row r="25" spans="1:6" ht="17" customHeight="1">
      <c r="A25" s="62">
        <v>22</v>
      </c>
      <c r="B25" s="63" t="s">
        <v>108</v>
      </c>
      <c r="C25" s="64" t="s">
        <v>2</v>
      </c>
      <c r="D25" s="65" t="s">
        <v>3</v>
      </c>
      <c r="E25" s="63" t="s">
        <v>36</v>
      </c>
      <c r="F25" s="53">
        <v>2.60416666666667E-3</v>
      </c>
    </row>
    <row r="26" spans="1:6" ht="17" customHeight="1">
      <c r="A26" s="62">
        <v>23</v>
      </c>
      <c r="B26" s="63" t="s">
        <v>85</v>
      </c>
      <c r="C26" s="64" t="s">
        <v>2</v>
      </c>
      <c r="D26" s="65" t="s">
        <v>3</v>
      </c>
      <c r="E26" s="63" t="s">
        <v>48</v>
      </c>
      <c r="F26" s="53">
        <v>1.9791666666666699E-3</v>
      </c>
    </row>
    <row r="27" spans="1:6" ht="17" customHeight="1">
      <c r="A27" s="62">
        <v>24</v>
      </c>
      <c r="B27" s="63" t="s">
        <v>78</v>
      </c>
      <c r="C27" s="64" t="s">
        <v>2</v>
      </c>
      <c r="D27" s="65" t="s">
        <v>3</v>
      </c>
      <c r="E27" s="63" t="s">
        <v>39</v>
      </c>
      <c r="F27" s="53">
        <v>2.5810185185185198E-3</v>
      </c>
    </row>
    <row r="28" spans="1:6" ht="17" customHeight="1">
      <c r="A28" s="62">
        <v>25</v>
      </c>
      <c r="B28" s="76" t="s">
        <v>74</v>
      </c>
      <c r="C28" s="77" t="s">
        <v>2</v>
      </c>
      <c r="D28" s="78" t="s">
        <v>3</v>
      </c>
      <c r="E28" s="76" t="s">
        <v>39</v>
      </c>
      <c r="F28" s="79">
        <v>4.6874999999999998E-3</v>
      </c>
    </row>
    <row r="29" spans="1:6" ht="17" customHeight="1" thickBot="1">
      <c r="A29" s="62">
        <v>26</v>
      </c>
      <c r="B29" s="63" t="s">
        <v>103</v>
      </c>
      <c r="C29" s="64" t="s">
        <v>2</v>
      </c>
      <c r="D29" s="65" t="s">
        <v>3</v>
      </c>
      <c r="E29" s="63" t="s">
        <v>31</v>
      </c>
      <c r="F29" s="53">
        <v>5.9606481481481498E-3</v>
      </c>
    </row>
    <row r="30" spans="1:6" ht="17" customHeight="1" thickBot="1">
      <c r="A30" s="73"/>
      <c r="B30" s="74" t="s">
        <v>243</v>
      </c>
      <c r="C30" s="74"/>
      <c r="D30" s="74"/>
      <c r="E30" s="74"/>
      <c r="F30" s="75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99" t="s">
        <v>83</v>
      </c>
      <c r="B1" s="200"/>
      <c r="C1" s="200"/>
      <c r="D1" s="200"/>
      <c r="E1" s="200"/>
      <c r="F1" s="201"/>
    </row>
    <row r="2" spans="1:6" ht="28" customHeight="1" thickBot="1">
      <c r="A2" s="196" t="s">
        <v>259</v>
      </c>
      <c r="B2" s="197"/>
      <c r="C2" s="197"/>
      <c r="D2" s="197"/>
      <c r="E2" s="197"/>
      <c r="F2" s="198"/>
    </row>
    <row r="3" spans="1:6" ht="22" customHeight="1">
      <c r="A3" s="119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20" t="s">
        <v>6</v>
      </c>
    </row>
    <row r="4" spans="1:6" ht="22" customHeight="1">
      <c r="A4" s="4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5">
        <v>2.1874999999999998E-3</v>
      </c>
    </row>
    <row r="5" spans="1:6" ht="22" customHeight="1">
      <c r="A5" s="4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5">
        <v>2.9513888888888888E-3</v>
      </c>
    </row>
    <row r="6" spans="1:6" ht="22" customHeight="1">
      <c r="A6" s="4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5">
        <v>2.6041666666666665E-3</v>
      </c>
    </row>
    <row r="7" spans="1:6" ht="22" customHeight="1">
      <c r="A7" s="4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5">
        <v>2.5810185185185185E-3</v>
      </c>
    </row>
    <row r="8" spans="1:6" ht="22" customHeight="1">
      <c r="A8" s="44">
        <v>5</v>
      </c>
      <c r="B8" s="15" t="s">
        <v>70</v>
      </c>
      <c r="C8" s="22" t="s">
        <v>2</v>
      </c>
      <c r="D8" s="22" t="s">
        <v>3</v>
      </c>
      <c r="E8" s="15" t="s">
        <v>31</v>
      </c>
      <c r="F8" s="45">
        <v>2.4305555555555556E-3</v>
      </c>
    </row>
    <row r="9" spans="1:6" ht="22" customHeight="1">
      <c r="A9" s="44">
        <v>6</v>
      </c>
      <c r="B9" s="15" t="s">
        <v>90</v>
      </c>
      <c r="C9" s="22" t="s">
        <v>2</v>
      </c>
      <c r="D9" s="22" t="s">
        <v>3</v>
      </c>
      <c r="E9" s="15" t="s">
        <v>36</v>
      </c>
      <c r="F9" s="45">
        <v>2.8587962962962963E-3</v>
      </c>
    </row>
    <row r="10" spans="1:6" ht="22" customHeight="1">
      <c r="A10" s="44">
        <v>7</v>
      </c>
      <c r="B10" s="15" t="s">
        <v>44</v>
      </c>
      <c r="C10" s="22" t="s">
        <v>2</v>
      </c>
      <c r="D10" s="22" t="s">
        <v>3</v>
      </c>
      <c r="E10" s="15" t="s">
        <v>31</v>
      </c>
      <c r="F10" s="45">
        <v>3.414351851851852E-3</v>
      </c>
    </row>
    <row r="11" spans="1:6" ht="22" customHeight="1">
      <c r="A11" s="44">
        <v>8</v>
      </c>
      <c r="B11" s="15" t="s">
        <v>82</v>
      </c>
      <c r="C11" s="22" t="s">
        <v>2</v>
      </c>
      <c r="D11" s="22"/>
      <c r="E11" s="15" t="s">
        <v>36</v>
      </c>
      <c r="F11" s="45">
        <f>VLOOKUP(B11,'Song Tracker'!$A$3:$F$48,6,FALSE)</f>
        <v>3.8541666666666668E-3</v>
      </c>
    </row>
    <row r="12" spans="1:6" ht="22" customHeight="1">
      <c r="A12" s="4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5">
        <v>3.5995370370370369E-3</v>
      </c>
    </row>
    <row r="13" spans="1:6" ht="22" customHeight="1">
      <c r="A13" s="44">
        <v>10</v>
      </c>
      <c r="B13" s="15" t="s">
        <v>63</v>
      </c>
      <c r="C13" s="22" t="s">
        <v>2</v>
      </c>
      <c r="D13" s="22" t="s">
        <v>3</v>
      </c>
      <c r="E13" s="15" t="s">
        <v>31</v>
      </c>
      <c r="F13" s="45">
        <v>2.7893518518518519E-3</v>
      </c>
    </row>
    <row r="14" spans="1:6" ht="22" customHeight="1">
      <c r="A14" s="44">
        <v>11</v>
      </c>
      <c r="B14" s="15" t="s">
        <v>106</v>
      </c>
      <c r="C14" s="22" t="s">
        <v>2</v>
      </c>
      <c r="D14" s="22" t="s">
        <v>3</v>
      </c>
      <c r="E14" s="15" t="s">
        <v>36</v>
      </c>
      <c r="F14" s="45">
        <v>3.3680555555555556E-3</v>
      </c>
    </row>
    <row r="15" spans="1:6" ht="22" customHeight="1">
      <c r="A15" s="4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5">
        <v>2.5810185185185185E-3</v>
      </c>
    </row>
    <row r="16" spans="1:6" ht="22" customHeight="1">
      <c r="A16" s="44">
        <v>13</v>
      </c>
      <c r="B16" s="15" t="s">
        <v>108</v>
      </c>
      <c r="C16" s="22" t="s">
        <v>2</v>
      </c>
      <c r="D16" s="22" t="s">
        <v>3</v>
      </c>
      <c r="E16" s="15" t="s">
        <v>36</v>
      </c>
      <c r="F16" s="45">
        <v>2.6041666666666665E-3</v>
      </c>
    </row>
    <row r="17" spans="1:6" ht="22" customHeight="1">
      <c r="A17" s="44">
        <v>14</v>
      </c>
      <c r="B17" s="15" t="s">
        <v>54</v>
      </c>
      <c r="C17" s="22" t="s">
        <v>2</v>
      </c>
      <c r="D17" s="22" t="s">
        <v>3</v>
      </c>
      <c r="E17" s="15" t="s">
        <v>39</v>
      </c>
      <c r="F17" s="45">
        <v>2.7430555555555554E-3</v>
      </c>
    </row>
    <row r="18" spans="1:6" ht="22" customHeight="1">
      <c r="A18" s="4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5">
        <v>2.0949074074074073E-3</v>
      </c>
    </row>
    <row r="19" spans="1:6" ht="22" customHeight="1">
      <c r="A19" s="4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5">
        <v>3.3217592592592595E-3</v>
      </c>
    </row>
    <row r="20" spans="1:6">
      <c r="A20" s="46"/>
      <c r="B20" s="14"/>
      <c r="C20" s="17"/>
      <c r="D20" s="17"/>
      <c r="E20" s="14"/>
      <c r="F20" s="47"/>
    </row>
    <row r="21" spans="1:6" ht="22" customHeight="1" thickBot="1">
      <c r="A21" s="48"/>
      <c r="B21" s="49" t="s">
        <v>243</v>
      </c>
      <c r="C21" s="50"/>
      <c r="D21" s="50"/>
      <c r="E21" s="49"/>
      <c r="F21" s="51">
        <f>SUM(F4:F20)</f>
        <v>4.5983796296296293E-2</v>
      </c>
    </row>
  </sheetData>
  <mergeCells count="2">
    <mergeCell ref="A2:F2"/>
    <mergeCell ref="A1:F1"/>
  </mergeCells>
  <hyperlinks>
    <hyperlink ref="C4" r:id="rId1" xr:uid="{00000000-0004-0000-0800-000000000000}"/>
    <hyperlink ref="D4" r:id="rId2" xr:uid="{00000000-0004-0000-0800-000001000000}"/>
    <hyperlink ref="C5" r:id="rId3" xr:uid="{00000000-0004-0000-0800-000002000000}"/>
    <hyperlink ref="D5" r:id="rId4" xr:uid="{00000000-0004-0000-0800-000003000000}"/>
    <hyperlink ref="C6" r:id="rId5" xr:uid="{00000000-0004-0000-0800-000004000000}"/>
    <hyperlink ref="D6" r:id="rId6" xr:uid="{00000000-0004-0000-0800-000005000000}"/>
    <hyperlink ref="C7" r:id="rId7" xr:uid="{00000000-0004-0000-0800-000006000000}"/>
    <hyperlink ref="D7" r:id="rId8" xr:uid="{00000000-0004-0000-0800-000007000000}"/>
    <hyperlink ref="C8" r:id="rId9" xr:uid="{00000000-0004-0000-0800-000008000000}"/>
    <hyperlink ref="D8" r:id="rId10" xr:uid="{00000000-0004-0000-0800-000009000000}"/>
    <hyperlink ref="C9" r:id="rId11" xr:uid="{00000000-0004-0000-0800-00000A000000}"/>
    <hyperlink ref="D9" r:id="rId12" xr:uid="{00000000-0004-0000-0800-00000B000000}"/>
    <hyperlink ref="C10" r:id="rId13" xr:uid="{00000000-0004-0000-0800-00000C000000}"/>
    <hyperlink ref="D10" r:id="rId14" xr:uid="{00000000-0004-0000-0800-00000D000000}"/>
    <hyperlink ref="C11" r:id="rId15" xr:uid="{00000000-0004-0000-0800-00000E000000}"/>
    <hyperlink ref="C12" r:id="rId16" xr:uid="{00000000-0004-0000-0800-00000F000000}"/>
    <hyperlink ref="D12" r:id="rId17" xr:uid="{00000000-0004-0000-0800-000010000000}"/>
    <hyperlink ref="C13" r:id="rId18" xr:uid="{00000000-0004-0000-0800-000011000000}"/>
    <hyperlink ref="D13" r:id="rId19" xr:uid="{00000000-0004-0000-0800-000012000000}"/>
    <hyperlink ref="C14" r:id="rId20" xr:uid="{00000000-0004-0000-0800-000013000000}"/>
    <hyperlink ref="D14" r:id="rId21" xr:uid="{00000000-0004-0000-0800-000014000000}"/>
    <hyperlink ref="C15" r:id="rId22" xr:uid="{00000000-0004-0000-0800-000015000000}"/>
    <hyperlink ref="D15" r:id="rId23" xr:uid="{00000000-0004-0000-0800-000016000000}"/>
    <hyperlink ref="C16" r:id="rId24" xr:uid="{00000000-0004-0000-0800-000017000000}"/>
    <hyperlink ref="D16" r:id="rId25" xr:uid="{00000000-0004-0000-0800-000018000000}"/>
    <hyperlink ref="C17" r:id="rId26" xr:uid="{00000000-0004-0000-0800-000019000000}"/>
    <hyperlink ref="D17" r:id="rId27" xr:uid="{00000000-0004-0000-0800-00001A000000}"/>
    <hyperlink ref="C18" r:id="rId28" xr:uid="{00000000-0004-0000-0800-00001B000000}"/>
    <hyperlink ref="D18" r:id="rId29" xr:uid="{00000000-0004-0000-0800-00001C000000}"/>
    <hyperlink ref="C19" r:id="rId30" xr:uid="{00000000-0004-0000-0800-00001D000000}"/>
    <hyperlink ref="D19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260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 t="s">
        <v>247</v>
      </c>
      <c r="B4" s="15" t="s">
        <v>104</v>
      </c>
      <c r="C4" s="22" t="s">
        <v>2</v>
      </c>
      <c r="D4" s="22" t="s">
        <v>3</v>
      </c>
      <c r="E4" s="15" t="s">
        <v>36</v>
      </c>
      <c r="F4" s="42">
        <f>VLOOKUP(B4,'Song Tracker'!$A$3:$F$48,6,FALSE)</f>
        <v>2.4305555555555556E-3</v>
      </c>
    </row>
    <row r="5" spans="1:6" ht="22" customHeight="1">
      <c r="A5" s="24">
        <v>1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2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3</v>
      </c>
      <c r="B7" s="15" t="s">
        <v>72</v>
      </c>
      <c r="C7" s="22" t="s">
        <v>2</v>
      </c>
      <c r="D7" s="22" t="s">
        <v>3</v>
      </c>
      <c r="E7" s="15" t="s">
        <v>36</v>
      </c>
      <c r="F7" s="42">
        <v>2.6041666666666665E-3</v>
      </c>
    </row>
    <row r="8" spans="1:6" ht="22" customHeight="1">
      <c r="A8" s="24">
        <v>4</v>
      </c>
      <c r="B8" s="15" t="s">
        <v>78</v>
      </c>
      <c r="C8" s="22" t="s">
        <v>2</v>
      </c>
      <c r="D8" s="22" t="s">
        <v>3</v>
      </c>
      <c r="E8" s="15" t="s">
        <v>39</v>
      </c>
      <c r="F8" s="42">
        <v>2.5810185185185185E-3</v>
      </c>
    </row>
    <row r="9" spans="1:6" ht="22" customHeight="1">
      <c r="A9" s="24">
        <v>5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6</v>
      </c>
      <c r="B10" s="15" t="s">
        <v>90</v>
      </c>
      <c r="C10" s="22" t="s">
        <v>2</v>
      </c>
      <c r="D10" s="22" t="s">
        <v>3</v>
      </c>
      <c r="E10" s="15" t="s">
        <v>36</v>
      </c>
      <c r="F10" s="42">
        <v>2.8587962962962963E-3</v>
      </c>
    </row>
    <row r="11" spans="1:6" ht="22" customHeight="1">
      <c r="A11" s="24">
        <v>7</v>
      </c>
      <c r="B11" s="15" t="s">
        <v>44</v>
      </c>
      <c r="C11" s="22" t="s">
        <v>2</v>
      </c>
      <c r="D11" s="22" t="s">
        <v>3</v>
      </c>
      <c r="E11" s="15" t="s">
        <v>31</v>
      </c>
      <c r="F11" s="42">
        <v>3.414351851851852E-3</v>
      </c>
    </row>
    <row r="12" spans="1:6" ht="22" customHeight="1">
      <c r="A12" s="24"/>
      <c r="B12" s="15"/>
      <c r="C12" s="22"/>
      <c r="D12" s="22"/>
      <c r="E12" s="15"/>
      <c r="F12" s="42"/>
    </row>
    <row r="13" spans="1:6" ht="22" customHeight="1">
      <c r="A13" s="24">
        <v>9</v>
      </c>
      <c r="B13" s="15" t="s">
        <v>94</v>
      </c>
      <c r="C13" s="22" t="s">
        <v>2</v>
      </c>
      <c r="D13" s="22" t="s">
        <v>3</v>
      </c>
      <c r="E13" s="15" t="s">
        <v>39</v>
      </c>
      <c r="F13" s="42">
        <v>3.5995370370370369E-3</v>
      </c>
    </row>
    <row r="14" spans="1:6" ht="22" customHeight="1">
      <c r="A14" s="24">
        <v>10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11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12</v>
      </c>
      <c r="B16" s="15" t="s">
        <v>245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13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14</v>
      </c>
      <c r="B18" s="15" t="s">
        <v>54</v>
      </c>
      <c r="C18" s="22" t="s">
        <v>2</v>
      </c>
      <c r="D18" s="22" t="s">
        <v>3</v>
      </c>
      <c r="E18" s="15" t="s">
        <v>39</v>
      </c>
      <c r="F18" s="42">
        <v>2.7430555555555554E-3</v>
      </c>
    </row>
    <row r="19" spans="1:6" ht="22" customHeight="1">
      <c r="A19" s="24">
        <v>15</v>
      </c>
      <c r="B19" s="15" t="s">
        <v>127</v>
      </c>
      <c r="C19" s="22" t="s">
        <v>2</v>
      </c>
      <c r="D19" s="22" t="s">
        <v>3</v>
      </c>
      <c r="E19" s="15" t="s">
        <v>31</v>
      </c>
      <c r="F19" s="42">
        <v>2.0949074074074073E-3</v>
      </c>
    </row>
    <row r="20" spans="1:6" ht="22" customHeight="1">
      <c r="A20" s="24">
        <v>16</v>
      </c>
      <c r="B20" s="15" t="s">
        <v>123</v>
      </c>
      <c r="C20" s="22" t="s">
        <v>2</v>
      </c>
      <c r="D20" s="22" t="s">
        <v>3</v>
      </c>
      <c r="E20" s="15" t="s">
        <v>36</v>
      </c>
      <c r="F20" s="42">
        <v>3.3217592592592595E-3</v>
      </c>
    </row>
    <row r="21" spans="1:6">
      <c r="A21" s="16"/>
      <c r="B21" s="14"/>
      <c r="C21" s="17"/>
      <c r="D21" s="17"/>
      <c r="E21" s="14"/>
      <c r="F21" s="43"/>
    </row>
    <row r="22" spans="1:6" ht="22" customHeight="1" thickBot="1">
      <c r="A22" s="18"/>
      <c r="B22" s="19" t="s">
        <v>243</v>
      </c>
      <c r="C22" s="20"/>
      <c r="D22" s="20"/>
      <c r="E22" s="19"/>
      <c r="F22" s="21">
        <f>SUM(F4:F21)</f>
        <v>4.4560185185185182E-2</v>
      </c>
    </row>
  </sheetData>
  <mergeCells count="2">
    <mergeCell ref="A1:F1"/>
    <mergeCell ref="A2:F2"/>
  </mergeCells>
  <hyperlinks>
    <hyperlink ref="C4" r:id="rId1" xr:uid="{00000000-0004-0000-0900-000000000000}"/>
    <hyperlink ref="D4" r:id="rId2" xr:uid="{00000000-0004-0000-0900-000001000000}"/>
    <hyperlink ref="C5" r:id="rId3" xr:uid="{00000000-0004-0000-0900-000002000000}"/>
    <hyperlink ref="D5" r:id="rId4" xr:uid="{00000000-0004-0000-0900-000003000000}"/>
    <hyperlink ref="C6" r:id="rId5" xr:uid="{00000000-0004-0000-0900-000004000000}"/>
    <hyperlink ref="D6" r:id="rId6" xr:uid="{00000000-0004-0000-0900-000005000000}"/>
    <hyperlink ref="C7" r:id="rId7" xr:uid="{00000000-0004-0000-0900-000006000000}"/>
    <hyperlink ref="D7" r:id="rId8" xr:uid="{00000000-0004-0000-0900-000007000000}"/>
    <hyperlink ref="C8" r:id="rId9" xr:uid="{00000000-0004-0000-0900-000008000000}"/>
    <hyperlink ref="D8" r:id="rId10" xr:uid="{00000000-0004-0000-0900-000009000000}"/>
    <hyperlink ref="C9" r:id="rId11" xr:uid="{00000000-0004-0000-0900-00000A000000}"/>
    <hyperlink ref="D9" r:id="rId12" xr:uid="{00000000-0004-0000-0900-00000B000000}"/>
    <hyperlink ref="C10" r:id="rId13" xr:uid="{00000000-0004-0000-0900-00000C000000}"/>
    <hyperlink ref="D10" r:id="rId14" xr:uid="{00000000-0004-0000-0900-00000D000000}"/>
    <hyperlink ref="C11" r:id="rId15" xr:uid="{00000000-0004-0000-0900-00000E000000}"/>
    <hyperlink ref="D11" r:id="rId16" xr:uid="{00000000-0004-0000-0900-00000F000000}"/>
    <hyperlink ref="C13" r:id="rId17" xr:uid="{00000000-0004-0000-0900-000010000000}"/>
    <hyperlink ref="D13" r:id="rId18" xr:uid="{00000000-0004-0000-0900-000011000000}"/>
    <hyperlink ref="C14" r:id="rId19" xr:uid="{00000000-0004-0000-0900-000012000000}"/>
    <hyperlink ref="D14" r:id="rId20" xr:uid="{00000000-0004-0000-0900-000013000000}"/>
    <hyperlink ref="C15" r:id="rId21" xr:uid="{00000000-0004-0000-0900-000014000000}"/>
    <hyperlink ref="D15" r:id="rId22" xr:uid="{00000000-0004-0000-0900-000015000000}"/>
    <hyperlink ref="C16" r:id="rId23" xr:uid="{00000000-0004-0000-0900-000016000000}"/>
    <hyperlink ref="D16" r:id="rId24" xr:uid="{00000000-0004-0000-0900-000017000000}"/>
    <hyperlink ref="C17" r:id="rId25" xr:uid="{00000000-0004-0000-0900-000018000000}"/>
    <hyperlink ref="D17" r:id="rId26" xr:uid="{00000000-0004-0000-0900-000019000000}"/>
    <hyperlink ref="C18" r:id="rId27" xr:uid="{00000000-0004-0000-0900-00001A000000}"/>
    <hyperlink ref="D18" r:id="rId28" xr:uid="{00000000-0004-0000-0900-00001B000000}"/>
    <hyperlink ref="C19" r:id="rId29" xr:uid="{00000000-0004-0000-0900-00001C000000}"/>
    <hyperlink ref="D19" r:id="rId30" xr:uid="{00000000-0004-0000-0900-00001D000000}"/>
    <hyperlink ref="C20" r:id="rId31" xr:uid="{00000000-0004-0000-0900-00001E000000}"/>
    <hyperlink ref="D20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261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72</v>
      </c>
      <c r="C6" s="22" t="s">
        <v>2</v>
      </c>
      <c r="D6" s="22" t="s">
        <v>3</v>
      </c>
      <c r="E6" s="15" t="s">
        <v>36</v>
      </c>
      <c r="F6" s="42">
        <v>2.6041666666666665E-3</v>
      </c>
    </row>
    <row r="7" spans="1:6" ht="22" customHeight="1">
      <c r="A7" s="24">
        <v>4</v>
      </c>
      <c r="B7" s="15" t="s">
        <v>78</v>
      </c>
      <c r="C7" s="22" t="s">
        <v>2</v>
      </c>
      <c r="D7" s="22" t="s">
        <v>3</v>
      </c>
      <c r="E7" s="15" t="s">
        <v>39</v>
      </c>
      <c r="F7" s="42">
        <v>2.5810185185185185E-3</v>
      </c>
    </row>
    <row r="8" spans="1:6" ht="22" customHeight="1">
      <c r="A8" s="24">
        <v>5</v>
      </c>
      <c r="B8" s="15" t="s">
        <v>44</v>
      </c>
      <c r="C8" s="22" t="s">
        <v>2</v>
      </c>
      <c r="D8" s="22" t="s">
        <v>3</v>
      </c>
      <c r="E8" s="15" t="s">
        <v>31</v>
      </c>
      <c r="F8" s="42">
        <v>3.414351851851852E-3</v>
      </c>
    </row>
    <row r="9" spans="1:6" ht="22" customHeight="1">
      <c r="A9" s="24">
        <v>6</v>
      </c>
      <c r="B9" s="15" t="s">
        <v>85</v>
      </c>
      <c r="C9" s="22" t="s">
        <v>2</v>
      </c>
      <c r="D9" s="22" t="s">
        <v>3</v>
      </c>
      <c r="E9" s="15" t="s">
        <v>48</v>
      </c>
      <c r="F9" s="42">
        <v>1.9791666666666668E-3</v>
      </c>
    </row>
    <row r="10" spans="1:6" ht="22" customHeight="1">
      <c r="A10" s="24">
        <v>7</v>
      </c>
      <c r="B10" s="15" t="s">
        <v>94</v>
      </c>
      <c r="C10" s="22" t="s">
        <v>2</v>
      </c>
      <c r="D10" s="22" t="s">
        <v>3</v>
      </c>
      <c r="E10" s="15" t="s">
        <v>39</v>
      </c>
      <c r="F10" s="42">
        <v>3.5995370370370369E-3</v>
      </c>
    </row>
    <row r="11" spans="1:6" ht="22" customHeight="1">
      <c r="A11" s="24">
        <v>8</v>
      </c>
      <c r="B11" s="15" t="s">
        <v>108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54</v>
      </c>
      <c r="C12" s="22" t="s">
        <v>2</v>
      </c>
      <c r="D12" s="22" t="s">
        <v>3</v>
      </c>
      <c r="E12" s="15" t="s">
        <v>39</v>
      </c>
      <c r="F12" s="42">
        <v>2.7430555555555554E-3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2.7986111111111111E-2</v>
      </c>
    </row>
  </sheetData>
  <mergeCells count="2">
    <mergeCell ref="A1:F1"/>
    <mergeCell ref="A2:F2"/>
  </mergeCells>
  <hyperlinks>
    <hyperlink ref="C4" r:id="rId1" xr:uid="{00000000-0004-0000-0A00-000000000000}"/>
    <hyperlink ref="D4" r:id="rId2" xr:uid="{00000000-0004-0000-0A00-000001000000}"/>
    <hyperlink ref="C5" r:id="rId3" xr:uid="{00000000-0004-0000-0A00-000002000000}"/>
    <hyperlink ref="D5" r:id="rId4" xr:uid="{00000000-0004-0000-0A00-000003000000}"/>
    <hyperlink ref="C6" r:id="rId5" xr:uid="{00000000-0004-0000-0A00-000004000000}"/>
    <hyperlink ref="D6" r:id="rId6" xr:uid="{00000000-0004-0000-0A00-000005000000}"/>
    <hyperlink ref="C7" r:id="rId7" xr:uid="{00000000-0004-0000-0A00-000006000000}"/>
    <hyperlink ref="D7" r:id="rId8" xr:uid="{00000000-0004-0000-0A00-000007000000}"/>
    <hyperlink ref="C8" r:id="rId9" xr:uid="{00000000-0004-0000-0A00-000008000000}"/>
    <hyperlink ref="D8" r:id="rId10" xr:uid="{00000000-0004-0000-0A00-000009000000}"/>
    <hyperlink ref="C9" r:id="rId11" xr:uid="{00000000-0004-0000-0A00-00000A000000}"/>
    <hyperlink ref="D9" r:id="rId12" xr:uid="{00000000-0004-0000-0A00-00000B000000}"/>
    <hyperlink ref="C10" r:id="rId13" xr:uid="{00000000-0004-0000-0A00-00000C000000}"/>
    <hyperlink ref="D10" r:id="rId14" xr:uid="{00000000-0004-0000-0A00-00000D000000}"/>
    <hyperlink ref="C11" r:id="rId15" xr:uid="{00000000-0004-0000-0A00-00000E000000}"/>
    <hyperlink ref="D11" r:id="rId16" xr:uid="{00000000-0004-0000-0A00-00000F000000}"/>
    <hyperlink ref="C12" r:id="rId17" xr:uid="{00000000-0004-0000-0A00-000010000000}"/>
    <hyperlink ref="D12" r:id="rId18" xr:uid="{00000000-0004-0000-0A00-000011000000}"/>
    <hyperlink ref="C13" r:id="rId19" xr:uid="{00000000-0004-0000-0A00-000012000000}"/>
    <hyperlink ref="D13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262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97</v>
      </c>
      <c r="C6" s="22" t="s">
        <v>2</v>
      </c>
      <c r="D6" s="22" t="s">
        <v>3</v>
      </c>
      <c r="E6" s="15" t="s">
        <v>31</v>
      </c>
      <c r="F6" s="42">
        <v>3.2291666666666666E-3</v>
      </c>
    </row>
    <row r="7" spans="1:6" ht="22" customHeight="1">
      <c r="A7" s="24">
        <v>4</v>
      </c>
      <c r="B7" s="15" t="s">
        <v>85</v>
      </c>
      <c r="C7" s="22" t="s">
        <v>2</v>
      </c>
      <c r="D7" s="22" t="s">
        <v>3</v>
      </c>
      <c r="E7" s="15" t="s">
        <v>48</v>
      </c>
      <c r="F7" s="42">
        <v>1.9791666666666668E-3</v>
      </c>
    </row>
    <row r="8" spans="1:6" ht="22" customHeight="1">
      <c r="A8" s="24">
        <v>5</v>
      </c>
      <c r="B8" s="15" t="s">
        <v>89</v>
      </c>
      <c r="C8" s="22" t="s">
        <v>2</v>
      </c>
      <c r="D8" s="22" t="s">
        <v>3</v>
      </c>
      <c r="E8" s="15" t="s">
        <v>48</v>
      </c>
      <c r="F8" s="42">
        <v>3.0439814814814817E-3</v>
      </c>
    </row>
    <row r="9" spans="1:6" ht="22" customHeight="1">
      <c r="A9" s="24">
        <v>6</v>
      </c>
      <c r="B9" s="15" t="s">
        <v>54</v>
      </c>
      <c r="C9" s="22" t="s">
        <v>2</v>
      </c>
      <c r="D9" s="22" t="s">
        <v>3</v>
      </c>
      <c r="E9" s="15" t="s">
        <v>39</v>
      </c>
      <c r="F9" s="42">
        <v>2.7430555555555554E-3</v>
      </c>
    </row>
    <row r="10" spans="1:6" ht="22" customHeight="1">
      <c r="A10" s="24">
        <v>7</v>
      </c>
      <c r="B10" s="15" t="s">
        <v>78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72</v>
      </c>
      <c r="C11" s="22" t="s">
        <v>2</v>
      </c>
      <c r="D11" s="22" t="s">
        <v>3</v>
      </c>
      <c r="E11" s="15" t="s">
        <v>36</v>
      </c>
      <c r="F11" s="42">
        <v>2.6041666666666665E-3</v>
      </c>
    </row>
    <row r="12" spans="1:6" ht="22" customHeight="1">
      <c r="A12" s="24">
        <v>9</v>
      </c>
      <c r="B12" s="15" t="s">
        <v>67</v>
      </c>
      <c r="C12" s="22" t="s">
        <v>2</v>
      </c>
      <c r="D12" s="22" t="s">
        <v>3</v>
      </c>
      <c r="E12" s="15" t="s">
        <v>39</v>
      </c>
      <c r="F12" s="42">
        <v>1.9328703703703704E-3</v>
      </c>
    </row>
    <row r="13" spans="1:6" ht="22" customHeight="1">
      <c r="A13" s="24">
        <v>10</v>
      </c>
      <c r="B13" s="15" t="s">
        <v>114</v>
      </c>
      <c r="C13" s="22" t="s">
        <v>2</v>
      </c>
      <c r="D13" s="22" t="s">
        <v>3</v>
      </c>
      <c r="E13" s="15" t="s">
        <v>36</v>
      </c>
      <c r="F13" s="42">
        <v>3.4606481481481485E-3</v>
      </c>
    </row>
    <row r="14" spans="1:6" ht="22" customHeight="1">
      <c r="A14" s="24">
        <v>11</v>
      </c>
      <c r="B14" s="15" t="s">
        <v>94</v>
      </c>
      <c r="C14" s="22" t="s">
        <v>2</v>
      </c>
      <c r="D14" s="22" t="s">
        <v>3</v>
      </c>
      <c r="E14" s="15" t="s">
        <v>39</v>
      </c>
      <c r="F14" s="42">
        <v>3.5995370370370369E-3</v>
      </c>
    </row>
    <row r="15" spans="1:6" ht="22" customHeight="1">
      <c r="A15" s="24">
        <v>12</v>
      </c>
      <c r="B15" s="15" t="s">
        <v>106</v>
      </c>
      <c r="C15" s="22" t="s">
        <v>2</v>
      </c>
      <c r="D15" s="22" t="s">
        <v>3</v>
      </c>
      <c r="E15" s="15" t="s">
        <v>36</v>
      </c>
      <c r="F15" s="42">
        <v>3.3680555555555556E-3</v>
      </c>
    </row>
    <row r="16" spans="1:6" ht="22" customHeight="1">
      <c r="A16" s="24">
        <v>13</v>
      </c>
      <c r="B16" s="15" t="s">
        <v>63</v>
      </c>
      <c r="C16" s="22" t="s">
        <v>2</v>
      </c>
      <c r="D16" s="22" t="s">
        <v>3</v>
      </c>
      <c r="E16" s="15" t="s">
        <v>31</v>
      </c>
      <c r="F16" s="42">
        <v>2.7893518518518519E-3</v>
      </c>
    </row>
    <row r="17" spans="1:6" ht="22" customHeight="1">
      <c r="A17" s="24">
        <v>14</v>
      </c>
      <c r="B17" s="15" t="s">
        <v>108</v>
      </c>
      <c r="C17" s="22" t="s">
        <v>2</v>
      </c>
      <c r="D17" s="22" t="s">
        <v>3</v>
      </c>
      <c r="E17" s="15" t="s">
        <v>36</v>
      </c>
      <c r="F17" s="42">
        <v>2.6041666666666665E-3</v>
      </c>
    </row>
    <row r="18" spans="1:6" ht="22" customHeight="1">
      <c r="A18" s="24">
        <v>15</v>
      </c>
      <c r="B18" s="15" t="s">
        <v>127</v>
      </c>
      <c r="C18" s="22" t="s">
        <v>2</v>
      </c>
      <c r="D18" s="22" t="s">
        <v>3</v>
      </c>
      <c r="E18" s="15" t="s">
        <v>31</v>
      </c>
      <c r="F18" s="42">
        <v>2.0949074074074073E-3</v>
      </c>
    </row>
    <row r="19" spans="1:6" ht="22" customHeight="1">
      <c r="A19" s="24">
        <v>16</v>
      </c>
      <c r="B19" s="15" t="s">
        <v>123</v>
      </c>
      <c r="C19" s="22" t="s">
        <v>2</v>
      </c>
      <c r="D19" s="22" t="s">
        <v>3</v>
      </c>
      <c r="E19" s="15" t="s">
        <v>36</v>
      </c>
      <c r="F19" s="42">
        <v>3.3217592592592595E-3</v>
      </c>
    </row>
    <row r="20" spans="1:6" ht="22" customHeight="1">
      <c r="A20" s="24">
        <v>17</v>
      </c>
      <c r="B20" s="15" t="s">
        <v>116</v>
      </c>
      <c r="C20" s="22" t="s">
        <v>2</v>
      </c>
      <c r="D20" s="22" t="s">
        <v>3</v>
      </c>
      <c r="E20" s="15" t="s">
        <v>36</v>
      </c>
      <c r="F20" s="42">
        <v>2.2569444444444442E-3</v>
      </c>
    </row>
    <row r="21" spans="1:6" ht="22" customHeight="1">
      <c r="A21" s="24">
        <v>18</v>
      </c>
      <c r="B21" s="15" t="s">
        <v>44</v>
      </c>
      <c r="C21" s="22" t="s">
        <v>2</v>
      </c>
      <c r="D21" s="22" t="s">
        <v>3</v>
      </c>
      <c r="E21" s="15" t="s">
        <v>31</v>
      </c>
      <c r="F21" s="42">
        <v>3.414351851851852E-3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82</v>
      </c>
      <c r="C24" s="22" t="s">
        <v>2</v>
      </c>
      <c r="D24" s="23"/>
      <c r="E24" s="15" t="s">
        <v>36</v>
      </c>
      <c r="F24" s="42">
        <v>3.8541666666666663E-3</v>
      </c>
    </row>
    <row r="25" spans="1:6" ht="22" customHeight="1">
      <c r="A25" s="24">
        <v>22</v>
      </c>
      <c r="B25" s="15" t="s">
        <v>101</v>
      </c>
      <c r="C25" s="22" t="s">
        <v>2</v>
      </c>
      <c r="D25" s="22" t="s">
        <v>3</v>
      </c>
      <c r="E25" s="15" t="s">
        <v>31</v>
      </c>
      <c r="F25" s="42">
        <v>4.1319444444444442E-3</v>
      </c>
    </row>
    <row r="26" spans="1:6" ht="22" customHeight="1">
      <c r="A26" s="24">
        <v>23</v>
      </c>
      <c r="B26" s="15" t="s">
        <v>92</v>
      </c>
      <c r="C26" s="22" t="s">
        <v>2</v>
      </c>
      <c r="D26" s="22" t="s">
        <v>3</v>
      </c>
      <c r="E26" s="15" t="s">
        <v>36</v>
      </c>
      <c r="F26" s="42">
        <v>2.0486111111111113E-3</v>
      </c>
    </row>
    <row r="27" spans="1:6" ht="22" customHeight="1">
      <c r="A27" s="24">
        <v>24</v>
      </c>
      <c r="B27" s="15" t="s">
        <v>74</v>
      </c>
      <c r="C27" s="22" t="s">
        <v>2</v>
      </c>
      <c r="D27" s="22" t="s">
        <v>3</v>
      </c>
      <c r="E27" s="15" t="s">
        <v>39</v>
      </c>
      <c r="F27" s="42">
        <v>4.6874999999999998E-3</v>
      </c>
    </row>
    <row r="28" spans="1:6" ht="22" customHeight="1">
      <c r="A28" s="24">
        <v>25</v>
      </c>
      <c r="B28" s="15" t="s">
        <v>46</v>
      </c>
      <c r="C28" s="22" t="s">
        <v>2</v>
      </c>
      <c r="D28" s="22" t="s">
        <v>3</v>
      </c>
      <c r="E28" s="15" t="s">
        <v>48</v>
      </c>
      <c r="F28" s="42">
        <v>1.7476851851851852E-3</v>
      </c>
    </row>
    <row r="29" spans="1:6" ht="22" customHeight="1">
      <c r="A29" s="24">
        <v>26</v>
      </c>
      <c r="B29" s="15" t="s">
        <v>41</v>
      </c>
      <c r="C29" s="22" t="s">
        <v>2</v>
      </c>
      <c r="D29" s="22" t="s">
        <v>3</v>
      </c>
      <c r="E29" s="15" t="s">
        <v>39</v>
      </c>
      <c r="F29" s="42">
        <v>2.7199074074074074E-3</v>
      </c>
    </row>
    <row r="30" spans="1:6" ht="22" customHeight="1">
      <c r="A30" s="24">
        <v>27</v>
      </c>
      <c r="B30" s="15" t="s">
        <v>90</v>
      </c>
      <c r="C30" s="22" t="s">
        <v>2</v>
      </c>
      <c r="D30" s="22" t="s">
        <v>3</v>
      </c>
      <c r="E30" s="15" t="s">
        <v>36</v>
      </c>
      <c r="F30" s="42">
        <v>2.8587962962962963E-3</v>
      </c>
    </row>
    <row r="31" spans="1:6" ht="22" customHeight="1">
      <c r="A31" s="24">
        <v>28</v>
      </c>
      <c r="B31" s="15" t="s">
        <v>80</v>
      </c>
      <c r="C31" s="23"/>
      <c r="D31" s="22" t="s">
        <v>3</v>
      </c>
      <c r="E31" s="15" t="s">
        <v>39</v>
      </c>
      <c r="F31" s="42">
        <f>VLOOKUP(B31,'Song Tracker'!$A$3:$F$48,6,FALSE)</f>
        <v>2.6041666666666665E-3</v>
      </c>
    </row>
    <row r="32" spans="1:6" ht="22" customHeight="1">
      <c r="A32" s="24">
        <v>29</v>
      </c>
      <c r="B32" s="15" t="s">
        <v>103</v>
      </c>
      <c r="C32" s="22" t="s">
        <v>2</v>
      </c>
      <c r="D32" s="22" t="s">
        <v>3</v>
      </c>
      <c r="E32" s="15" t="s">
        <v>31</v>
      </c>
      <c r="F32" s="42">
        <v>5.9606481481481481E-3</v>
      </c>
    </row>
    <row r="33" spans="1:6" ht="22" customHeight="1">
      <c r="A33" s="24">
        <v>30</v>
      </c>
      <c r="B33" s="15" t="s">
        <v>70</v>
      </c>
      <c r="C33" s="22" t="s">
        <v>2</v>
      </c>
      <c r="D33" s="22" t="s">
        <v>3</v>
      </c>
      <c r="E33" s="15" t="s">
        <v>31</v>
      </c>
      <c r="F33" s="42">
        <v>2.4305555555555556E-3</v>
      </c>
    </row>
    <row r="34" spans="1:6" ht="22" customHeight="1">
      <c r="A34" s="24">
        <v>31</v>
      </c>
      <c r="B34" s="15" t="s">
        <v>118</v>
      </c>
      <c r="C34" s="22" t="s">
        <v>2</v>
      </c>
      <c r="D34" s="22" t="s">
        <v>3</v>
      </c>
      <c r="E34" s="15" t="s">
        <v>36</v>
      </c>
      <c r="F34" s="42">
        <f>VLOOKUP(B34,'Song Tracker'!$A$3:$F$48,6,FALSE)</f>
        <v>3.472222222222222E-3</v>
      </c>
    </row>
    <row r="35" spans="1:6" ht="22" customHeight="1">
      <c r="A35" s="16"/>
      <c r="B35" s="14"/>
      <c r="C35" s="17"/>
      <c r="D35" s="17"/>
      <c r="E35" s="14"/>
      <c r="F35" s="43"/>
    </row>
    <row r="36" spans="1:6" ht="22" customHeight="1" thickBot="1">
      <c r="A36" s="18"/>
      <c r="B36" s="19" t="s">
        <v>243</v>
      </c>
      <c r="C36" s="20"/>
      <c r="D36" s="20"/>
      <c r="E36" s="19"/>
      <c r="F36" s="21">
        <f>SUM(F4:F35)</f>
        <v>9.1747685185185168E-2</v>
      </c>
    </row>
  </sheetData>
  <mergeCells count="2">
    <mergeCell ref="A1:F1"/>
    <mergeCell ref="A2:F2"/>
  </mergeCells>
  <hyperlinks>
    <hyperlink ref="C4" r:id="rId1" xr:uid="{00000000-0004-0000-0B00-000000000000}"/>
    <hyperlink ref="D4" r:id="rId2" xr:uid="{00000000-0004-0000-0B00-000001000000}"/>
    <hyperlink ref="C5" r:id="rId3" xr:uid="{00000000-0004-0000-0B00-000002000000}"/>
    <hyperlink ref="D5" r:id="rId4" xr:uid="{00000000-0004-0000-0B00-000003000000}"/>
    <hyperlink ref="C6" r:id="rId5" xr:uid="{00000000-0004-0000-0B00-000004000000}"/>
    <hyperlink ref="D6" r:id="rId6" xr:uid="{00000000-0004-0000-0B00-000005000000}"/>
    <hyperlink ref="C7" r:id="rId7" xr:uid="{00000000-0004-0000-0B00-000006000000}"/>
    <hyperlink ref="D7" r:id="rId8" xr:uid="{00000000-0004-0000-0B00-000007000000}"/>
    <hyperlink ref="C8" r:id="rId9" xr:uid="{00000000-0004-0000-0B00-000008000000}"/>
    <hyperlink ref="D8" r:id="rId10" xr:uid="{00000000-0004-0000-0B00-000009000000}"/>
    <hyperlink ref="C9" r:id="rId11" xr:uid="{00000000-0004-0000-0B00-00000A000000}"/>
    <hyperlink ref="D9" r:id="rId12" xr:uid="{00000000-0004-0000-0B00-00000B000000}"/>
    <hyperlink ref="C10" r:id="rId13" xr:uid="{00000000-0004-0000-0B00-00000C000000}"/>
    <hyperlink ref="D10" r:id="rId14" xr:uid="{00000000-0004-0000-0B00-00000D000000}"/>
    <hyperlink ref="C11" r:id="rId15" xr:uid="{00000000-0004-0000-0B00-00000E000000}"/>
    <hyperlink ref="D11" r:id="rId16" xr:uid="{00000000-0004-0000-0B00-00000F000000}"/>
    <hyperlink ref="C12" r:id="rId17" xr:uid="{00000000-0004-0000-0B00-000010000000}"/>
    <hyperlink ref="D12" r:id="rId18" xr:uid="{00000000-0004-0000-0B00-000011000000}"/>
    <hyperlink ref="C13" r:id="rId19" xr:uid="{00000000-0004-0000-0B00-000012000000}"/>
    <hyperlink ref="D13" r:id="rId20" xr:uid="{00000000-0004-0000-0B00-000013000000}"/>
    <hyperlink ref="C14" r:id="rId21" xr:uid="{00000000-0004-0000-0B00-000014000000}"/>
    <hyperlink ref="D14" r:id="rId22" xr:uid="{00000000-0004-0000-0B00-000015000000}"/>
    <hyperlink ref="C15" r:id="rId23" xr:uid="{00000000-0004-0000-0B00-000016000000}"/>
    <hyperlink ref="D15" r:id="rId24" xr:uid="{00000000-0004-0000-0B00-000017000000}"/>
    <hyperlink ref="C16" r:id="rId25" xr:uid="{00000000-0004-0000-0B00-000018000000}"/>
    <hyperlink ref="D16" r:id="rId26" xr:uid="{00000000-0004-0000-0B00-000019000000}"/>
    <hyperlink ref="C17" r:id="rId27" xr:uid="{00000000-0004-0000-0B00-00001A000000}"/>
    <hyperlink ref="D17" r:id="rId28" xr:uid="{00000000-0004-0000-0B00-00001B000000}"/>
    <hyperlink ref="C18" r:id="rId29" xr:uid="{00000000-0004-0000-0B00-00001C000000}"/>
    <hyperlink ref="D18" r:id="rId30" xr:uid="{00000000-0004-0000-0B00-00001D000000}"/>
    <hyperlink ref="C19" r:id="rId31" xr:uid="{00000000-0004-0000-0B00-00001E000000}"/>
    <hyperlink ref="D19" r:id="rId32" xr:uid="{00000000-0004-0000-0B00-00001F000000}"/>
    <hyperlink ref="C20" r:id="rId33" xr:uid="{00000000-0004-0000-0B00-000020000000}"/>
    <hyperlink ref="D20" r:id="rId34" xr:uid="{00000000-0004-0000-0B00-000021000000}"/>
    <hyperlink ref="C21" r:id="rId35" xr:uid="{00000000-0004-0000-0B00-000022000000}"/>
    <hyperlink ref="D21" r:id="rId36" xr:uid="{00000000-0004-0000-0B00-000023000000}"/>
    <hyperlink ref="C22" r:id="rId37" xr:uid="{00000000-0004-0000-0B00-000024000000}"/>
    <hyperlink ref="D22" r:id="rId38" xr:uid="{00000000-0004-0000-0B00-000025000000}"/>
    <hyperlink ref="C23" r:id="rId39" xr:uid="{00000000-0004-0000-0B00-000026000000}"/>
    <hyperlink ref="D23" r:id="rId40" xr:uid="{00000000-0004-0000-0B00-000027000000}"/>
    <hyperlink ref="C24" r:id="rId41" xr:uid="{00000000-0004-0000-0B00-000028000000}"/>
    <hyperlink ref="C25" r:id="rId42" xr:uid="{00000000-0004-0000-0B00-000029000000}"/>
    <hyperlink ref="D25" r:id="rId43" xr:uid="{00000000-0004-0000-0B00-00002A000000}"/>
    <hyperlink ref="C26" r:id="rId44" xr:uid="{00000000-0004-0000-0B00-00002B000000}"/>
    <hyperlink ref="D26" r:id="rId45" xr:uid="{00000000-0004-0000-0B00-00002C000000}"/>
    <hyperlink ref="C27" r:id="rId46" xr:uid="{00000000-0004-0000-0B00-00002D000000}"/>
    <hyperlink ref="D27" r:id="rId47" xr:uid="{00000000-0004-0000-0B00-00002E000000}"/>
    <hyperlink ref="C28" r:id="rId48" xr:uid="{00000000-0004-0000-0B00-00002F000000}"/>
    <hyperlink ref="D28" r:id="rId49" xr:uid="{00000000-0004-0000-0B00-000030000000}"/>
    <hyperlink ref="C29" r:id="rId50" xr:uid="{00000000-0004-0000-0B00-000031000000}"/>
    <hyperlink ref="D29" r:id="rId51" xr:uid="{00000000-0004-0000-0B00-000032000000}"/>
    <hyperlink ref="C30" r:id="rId52" xr:uid="{00000000-0004-0000-0B00-000033000000}"/>
    <hyperlink ref="D30" r:id="rId53" xr:uid="{00000000-0004-0000-0B00-000034000000}"/>
    <hyperlink ref="D31" r:id="rId54" xr:uid="{00000000-0004-0000-0B00-000035000000}"/>
    <hyperlink ref="C32" r:id="rId55" xr:uid="{00000000-0004-0000-0B00-000036000000}"/>
    <hyperlink ref="D32" r:id="rId56" xr:uid="{00000000-0004-0000-0B00-000037000000}"/>
    <hyperlink ref="C33" r:id="rId57" xr:uid="{00000000-0004-0000-0B00-000038000000}"/>
    <hyperlink ref="D33" r:id="rId58" xr:uid="{00000000-0004-0000-0B00-000039000000}"/>
    <hyperlink ref="C34" r:id="rId59" xr:uid="{00000000-0004-0000-0B00-00003A000000}"/>
    <hyperlink ref="D34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8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263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90</v>
      </c>
      <c r="C4" s="22" t="s">
        <v>2</v>
      </c>
      <c r="D4" s="22" t="s">
        <v>3</v>
      </c>
      <c r="E4" s="15" t="s">
        <v>36</v>
      </c>
      <c r="F4" s="42">
        <v>2.8587962962962963E-3</v>
      </c>
    </row>
    <row r="5" spans="1:6" ht="22" customHeight="1">
      <c r="A5" s="24">
        <v>2</v>
      </c>
      <c r="B5" s="15" t="s">
        <v>49</v>
      </c>
      <c r="C5" s="22" t="s">
        <v>2</v>
      </c>
      <c r="D5" s="22" t="s">
        <v>3</v>
      </c>
      <c r="E5" s="15" t="s">
        <v>31</v>
      </c>
      <c r="F5" s="42">
        <v>2.1874999999999998E-3</v>
      </c>
    </row>
    <row r="6" spans="1:6" ht="22" customHeight="1">
      <c r="A6" s="24">
        <v>3</v>
      </c>
      <c r="B6" s="15" t="s">
        <v>41</v>
      </c>
      <c r="C6" s="22" t="s">
        <v>2</v>
      </c>
      <c r="D6" s="22" t="s">
        <v>3</v>
      </c>
      <c r="E6" s="15" t="s">
        <v>39</v>
      </c>
      <c r="F6" s="42">
        <v>2.7199074074074074E-3</v>
      </c>
    </row>
    <row r="7" spans="1:6" ht="22" customHeight="1">
      <c r="A7" s="24">
        <v>4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5</v>
      </c>
      <c r="B8" s="15" t="s">
        <v>113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2.0023148148148148E-3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116</v>
      </c>
      <c r="C10" s="22" t="s">
        <v>2</v>
      </c>
      <c r="D10" s="22" t="s">
        <v>3</v>
      </c>
      <c r="E10" s="15" t="s">
        <v>36</v>
      </c>
      <c r="F10" s="42">
        <v>2.2569444444444442E-3</v>
      </c>
    </row>
    <row r="11" spans="1:6" ht="22" customHeight="1">
      <c r="A11" s="24">
        <v>8</v>
      </c>
      <c r="B11" s="15" t="s">
        <v>70</v>
      </c>
      <c r="C11" s="22" t="s">
        <v>2</v>
      </c>
      <c r="D11" s="22" t="s">
        <v>3</v>
      </c>
      <c r="E11" s="15" t="s">
        <v>31</v>
      </c>
      <c r="F11" s="42">
        <v>2.4305555555555556E-3</v>
      </c>
    </row>
    <row r="12" spans="1:6" ht="22" customHeight="1">
      <c r="A12" s="24">
        <v>9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10</v>
      </c>
      <c r="B13" s="15" t="s">
        <v>120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2.0833333333333333E-3</v>
      </c>
    </row>
    <row r="14" spans="1:6" ht="22" customHeight="1">
      <c r="A14" s="24">
        <v>11</v>
      </c>
      <c r="B14" s="15" t="s">
        <v>54</v>
      </c>
      <c r="C14" s="22" t="s">
        <v>2</v>
      </c>
      <c r="D14" s="22" t="s">
        <v>3</v>
      </c>
      <c r="E14" s="15" t="s">
        <v>39</v>
      </c>
      <c r="F14" s="42">
        <v>2.7430555555555554E-3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>
      <c r="A17" s="16"/>
      <c r="B17" s="14"/>
      <c r="C17" s="17"/>
      <c r="D17" s="17"/>
      <c r="E17" s="14"/>
      <c r="F17" s="43"/>
    </row>
    <row r="18" spans="1:6" ht="22" customHeight="1" thickBot="1">
      <c r="A18" s="18"/>
      <c r="B18" s="19" t="s">
        <v>243</v>
      </c>
      <c r="C18" s="20"/>
      <c r="D18" s="20"/>
      <c r="E18" s="19"/>
      <c r="F18" s="21">
        <f>SUM(F4:F17)</f>
        <v>3.4571759259259253E-2</v>
      </c>
    </row>
  </sheetData>
  <mergeCells count="2">
    <mergeCell ref="A1:F1"/>
    <mergeCell ref="A2:F2"/>
  </mergeCells>
  <hyperlinks>
    <hyperlink ref="C4" r:id="rId1" xr:uid="{00000000-0004-0000-0C00-000000000000}"/>
    <hyperlink ref="D4" r:id="rId2" xr:uid="{00000000-0004-0000-0C00-000001000000}"/>
    <hyperlink ref="C5" r:id="rId3" xr:uid="{00000000-0004-0000-0C00-000002000000}"/>
    <hyperlink ref="D5" r:id="rId4" xr:uid="{00000000-0004-0000-0C00-000003000000}"/>
    <hyperlink ref="C6" r:id="rId5" xr:uid="{00000000-0004-0000-0C00-000004000000}"/>
    <hyperlink ref="D6" r:id="rId6" xr:uid="{00000000-0004-0000-0C00-000005000000}"/>
    <hyperlink ref="C7" r:id="rId7" xr:uid="{00000000-0004-0000-0C00-000006000000}"/>
    <hyperlink ref="D7" r:id="rId8" xr:uid="{00000000-0004-0000-0C00-000007000000}"/>
    <hyperlink ref="C8" r:id="rId9" xr:uid="{00000000-0004-0000-0C00-000008000000}"/>
    <hyperlink ref="D8" r:id="rId10" xr:uid="{00000000-0004-0000-0C00-000009000000}"/>
    <hyperlink ref="C9" r:id="rId11" xr:uid="{00000000-0004-0000-0C00-00000A000000}"/>
    <hyperlink ref="D9" r:id="rId12" xr:uid="{00000000-0004-0000-0C00-00000B000000}"/>
    <hyperlink ref="C10" r:id="rId13" xr:uid="{00000000-0004-0000-0C00-00000C000000}"/>
    <hyperlink ref="D10" r:id="rId14" xr:uid="{00000000-0004-0000-0C00-00000D000000}"/>
    <hyperlink ref="C11" r:id="rId15" xr:uid="{00000000-0004-0000-0C00-00000E000000}"/>
    <hyperlink ref="D11" r:id="rId16" xr:uid="{00000000-0004-0000-0C00-00000F000000}"/>
    <hyperlink ref="C12" r:id="rId17" xr:uid="{00000000-0004-0000-0C00-000010000000}"/>
    <hyperlink ref="D12" r:id="rId18" xr:uid="{00000000-0004-0000-0C00-000011000000}"/>
    <hyperlink ref="C13" r:id="rId19" xr:uid="{00000000-0004-0000-0C00-000012000000}"/>
    <hyperlink ref="D13" r:id="rId20" xr:uid="{00000000-0004-0000-0C00-000013000000}"/>
    <hyperlink ref="C14" r:id="rId21" xr:uid="{00000000-0004-0000-0C00-000014000000}"/>
    <hyperlink ref="D14" r:id="rId22" xr:uid="{00000000-0004-0000-0C00-000015000000}"/>
    <hyperlink ref="C15" r:id="rId23" xr:uid="{00000000-0004-0000-0C00-000016000000}"/>
    <hyperlink ref="D15" r:id="rId24" xr:uid="{00000000-0004-0000-0C00-000017000000}"/>
    <hyperlink ref="C16" r:id="rId25" xr:uid="{00000000-0004-0000-0C00-000018000000}"/>
    <hyperlink ref="D16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264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5</v>
      </c>
      <c r="B7" s="15" t="s">
        <v>106</v>
      </c>
      <c r="C7" s="22" t="s">
        <v>2</v>
      </c>
      <c r="D7" s="22" t="s">
        <v>3</v>
      </c>
      <c r="E7" s="15" t="s">
        <v>36</v>
      </c>
      <c r="F7" s="42">
        <v>3.3680555555555556E-3</v>
      </c>
    </row>
    <row r="8" spans="1:6" ht="22" customHeight="1">
      <c r="A8" s="24">
        <v>6</v>
      </c>
      <c r="B8" s="15" t="s">
        <v>28</v>
      </c>
      <c r="C8" s="23"/>
      <c r="D8" s="23"/>
      <c r="E8" s="15" t="s">
        <v>31</v>
      </c>
      <c r="F8" s="42">
        <f>VLOOKUP(B8,'Song Tracker'!$A$3:$F$48,6,FALSE)</f>
        <v>2.7662037037037039E-3</v>
      </c>
    </row>
    <row r="9" spans="1:6" ht="22" customHeight="1">
      <c r="A9" s="24">
        <v>7</v>
      </c>
      <c r="B9" s="15" t="s">
        <v>70</v>
      </c>
      <c r="C9" s="22" t="s">
        <v>2</v>
      </c>
      <c r="D9" s="22" t="s">
        <v>3</v>
      </c>
      <c r="E9" s="15" t="s">
        <v>31</v>
      </c>
      <c r="F9" s="42">
        <v>2.4305555555555556E-3</v>
      </c>
    </row>
    <row r="10" spans="1:6" ht="22" customHeight="1">
      <c r="A10" s="24">
        <v>8</v>
      </c>
      <c r="B10" s="15" t="s">
        <v>127</v>
      </c>
      <c r="C10" s="22" t="s">
        <v>2</v>
      </c>
      <c r="D10" s="22" t="s">
        <v>3</v>
      </c>
      <c r="E10" s="15" t="s">
        <v>31</v>
      </c>
      <c r="F10" s="42">
        <v>2.0949074074074073E-3</v>
      </c>
    </row>
    <row r="11" spans="1:6" ht="22" customHeight="1">
      <c r="A11" s="24">
        <v>9</v>
      </c>
      <c r="B11" s="15" t="s">
        <v>63</v>
      </c>
      <c r="C11" s="22" t="s">
        <v>2</v>
      </c>
      <c r="D11" s="22" t="s">
        <v>3</v>
      </c>
      <c r="E11" s="15" t="s">
        <v>31</v>
      </c>
      <c r="F11" s="42">
        <v>2.7893518518518519E-3</v>
      </c>
    </row>
    <row r="12" spans="1:6" ht="22" customHeight="1">
      <c r="A12" s="24">
        <v>10</v>
      </c>
      <c r="B12" s="15" t="s">
        <v>94</v>
      </c>
      <c r="C12" s="22" t="s">
        <v>2</v>
      </c>
      <c r="D12" s="22" t="s">
        <v>3</v>
      </c>
      <c r="E12" s="15" t="s">
        <v>39</v>
      </c>
      <c r="F12" s="42">
        <v>3.5995370370370369E-3</v>
      </c>
    </row>
    <row r="13" spans="1:6" ht="22" customHeight="1">
      <c r="A13" s="24">
        <v>11</v>
      </c>
      <c r="B13" s="15" t="s">
        <v>80</v>
      </c>
      <c r="C13" s="23"/>
      <c r="D13" s="22" t="s">
        <v>3</v>
      </c>
      <c r="E13" s="15" t="s">
        <v>39</v>
      </c>
      <c r="F13" s="42">
        <f>VLOOKUP(B13,'Song Tracker'!$A$3:$F$48,6,FALSE)</f>
        <v>2.6041666666666665E-3</v>
      </c>
    </row>
    <row r="14" spans="1:6" ht="22" customHeight="1">
      <c r="A14" s="24">
        <v>12</v>
      </c>
      <c r="B14" s="15" t="s">
        <v>101</v>
      </c>
      <c r="C14" s="22" t="s">
        <v>2</v>
      </c>
      <c r="D14" s="22" t="s">
        <v>3</v>
      </c>
      <c r="E14" s="15" t="s">
        <v>31</v>
      </c>
      <c r="F14" s="42">
        <v>4.1319444444444442E-3</v>
      </c>
    </row>
    <row r="15" spans="1:6" ht="22" customHeight="1">
      <c r="A15" s="24">
        <v>13</v>
      </c>
      <c r="B15" s="15" t="s">
        <v>120</v>
      </c>
      <c r="C15" s="22" t="s">
        <v>2</v>
      </c>
      <c r="D15" s="22" t="s">
        <v>3</v>
      </c>
      <c r="E15" s="15" t="s">
        <v>31</v>
      </c>
      <c r="F15" s="42">
        <f>VLOOKUP(B15,'Song Tracker'!$A$3:$F$48,6,FALSE)</f>
        <v>2.0833333333333333E-3</v>
      </c>
    </row>
    <row r="16" spans="1:6" ht="22" customHeight="1">
      <c r="A16" s="24">
        <v>14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15</v>
      </c>
      <c r="B17" s="15" t="s">
        <v>124</v>
      </c>
      <c r="C17" s="23"/>
      <c r="D17" s="23"/>
      <c r="E17" s="15" t="s">
        <v>126</v>
      </c>
      <c r="F17" s="42"/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3.6909722222222219E-2</v>
      </c>
    </row>
  </sheetData>
  <mergeCells count="2">
    <mergeCell ref="A1:F1"/>
    <mergeCell ref="A2:F2"/>
  </mergeCells>
  <hyperlinks>
    <hyperlink ref="C4" r:id="rId1" xr:uid="{00000000-0004-0000-0D00-000000000000}"/>
    <hyperlink ref="D4" r:id="rId2" xr:uid="{00000000-0004-0000-0D00-000001000000}"/>
    <hyperlink ref="C5" r:id="rId3" xr:uid="{00000000-0004-0000-0D00-000002000000}"/>
    <hyperlink ref="D5" r:id="rId4" xr:uid="{00000000-0004-0000-0D00-000003000000}"/>
    <hyperlink ref="C6" r:id="rId5" xr:uid="{00000000-0004-0000-0D00-000004000000}"/>
    <hyperlink ref="D6" r:id="rId6" xr:uid="{00000000-0004-0000-0D00-000005000000}"/>
    <hyperlink ref="C7" r:id="rId7" xr:uid="{00000000-0004-0000-0D00-000006000000}"/>
    <hyperlink ref="D7" r:id="rId8" xr:uid="{00000000-0004-0000-0D00-000007000000}"/>
    <hyperlink ref="C9" r:id="rId9" xr:uid="{00000000-0004-0000-0D00-000008000000}"/>
    <hyperlink ref="D9" r:id="rId10" xr:uid="{00000000-0004-0000-0D00-000009000000}"/>
    <hyperlink ref="C10" r:id="rId11" xr:uid="{00000000-0004-0000-0D00-00000A000000}"/>
    <hyperlink ref="D10" r:id="rId12" xr:uid="{00000000-0004-0000-0D00-00000B000000}"/>
    <hyperlink ref="C11" r:id="rId13" xr:uid="{00000000-0004-0000-0D00-00000C000000}"/>
    <hyperlink ref="D11" r:id="rId14" xr:uid="{00000000-0004-0000-0D00-00000D000000}"/>
    <hyperlink ref="C12" r:id="rId15" xr:uid="{00000000-0004-0000-0D00-00000E000000}"/>
    <hyperlink ref="D12" r:id="rId16" xr:uid="{00000000-0004-0000-0D00-00000F000000}"/>
    <hyperlink ref="D13" r:id="rId17" xr:uid="{00000000-0004-0000-0D00-000010000000}"/>
    <hyperlink ref="C14" r:id="rId18" xr:uid="{00000000-0004-0000-0D00-000011000000}"/>
    <hyperlink ref="D14" r:id="rId19" xr:uid="{00000000-0004-0000-0D00-000012000000}"/>
    <hyperlink ref="C15" r:id="rId20" xr:uid="{00000000-0004-0000-0D00-000013000000}"/>
    <hyperlink ref="D15" r:id="rId21" xr:uid="{00000000-0004-0000-0D00-000014000000}"/>
    <hyperlink ref="C16" r:id="rId22" xr:uid="{00000000-0004-0000-0D00-000015000000}"/>
    <hyperlink ref="D16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3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265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97</v>
      </c>
      <c r="C10" s="22" t="s">
        <v>2</v>
      </c>
      <c r="D10" s="22" t="s">
        <v>3</v>
      </c>
      <c r="E10" s="15" t="s">
        <v>31</v>
      </c>
      <c r="F10" s="42">
        <v>3.2291666666666666E-3</v>
      </c>
    </row>
    <row r="11" spans="1:6" ht="22" customHeight="1">
      <c r="A11" s="24">
        <v>8</v>
      </c>
      <c r="B11" s="15" t="s">
        <v>28</v>
      </c>
      <c r="C11" s="23"/>
      <c r="D11" s="23"/>
      <c r="E11" s="15" t="s">
        <v>31</v>
      </c>
      <c r="F11" s="42">
        <f>VLOOKUP(B11,'Song Tracker'!$A$3:$F$48,6,FALSE)</f>
        <v>2.7662037037037039E-3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57</v>
      </c>
      <c r="C13" s="22" t="s">
        <v>2</v>
      </c>
      <c r="D13" s="22" t="s">
        <v>3</v>
      </c>
      <c r="E13" s="15" t="s">
        <v>39</v>
      </c>
      <c r="F13" s="42">
        <f>VLOOKUP(B13,'Song Tracker'!$A$3:$F$48,6,FALSE)</f>
        <v>2.3032407407407407E-3</v>
      </c>
    </row>
    <row r="14" spans="1:6" ht="22" customHeight="1">
      <c r="A14" s="24">
        <v>11</v>
      </c>
      <c r="B14" s="15" t="s">
        <v>127</v>
      </c>
      <c r="C14" s="22" t="s">
        <v>2</v>
      </c>
      <c r="D14" s="22" t="s">
        <v>3</v>
      </c>
      <c r="E14" s="15" t="s">
        <v>31</v>
      </c>
      <c r="F14" s="42">
        <v>2.0949074074074073E-3</v>
      </c>
    </row>
    <row r="15" spans="1:6" ht="22" customHeight="1">
      <c r="A15" s="24">
        <v>12</v>
      </c>
      <c r="B15" s="15" t="s">
        <v>92</v>
      </c>
      <c r="C15" s="22" t="s">
        <v>2</v>
      </c>
      <c r="D15" s="22" t="s">
        <v>3</v>
      </c>
      <c r="E15" s="15" t="s">
        <v>36</v>
      </c>
      <c r="F15" s="42">
        <v>2.0486111111111113E-3</v>
      </c>
    </row>
    <row r="16" spans="1:6" ht="22" customHeight="1">
      <c r="A16" s="24">
        <v>13</v>
      </c>
      <c r="B16" s="15" t="s">
        <v>116</v>
      </c>
      <c r="C16" s="22" t="s">
        <v>2</v>
      </c>
      <c r="D16" s="22" t="s">
        <v>3</v>
      </c>
      <c r="E16" s="15" t="s">
        <v>36</v>
      </c>
      <c r="F16" s="42">
        <v>2.2569444444444442E-3</v>
      </c>
    </row>
    <row r="17" spans="1:6" ht="22" customHeight="1">
      <c r="A17" s="24">
        <v>14</v>
      </c>
      <c r="B17" s="15" t="s">
        <v>63</v>
      </c>
      <c r="C17" s="22" t="s">
        <v>2</v>
      </c>
      <c r="D17" s="22" t="s">
        <v>3</v>
      </c>
      <c r="E17" s="15" t="s">
        <v>31</v>
      </c>
      <c r="F17" s="42">
        <v>2.7893518518518519E-3</v>
      </c>
    </row>
    <row r="18" spans="1:6" ht="22" customHeight="1">
      <c r="A18" s="24">
        <v>15</v>
      </c>
      <c r="B18" s="15" t="s">
        <v>94</v>
      </c>
      <c r="C18" s="22" t="s">
        <v>2</v>
      </c>
      <c r="D18" s="22" t="s">
        <v>3</v>
      </c>
      <c r="E18" s="15" t="s">
        <v>39</v>
      </c>
      <c r="F18" s="42">
        <v>3.5995370370370369E-3</v>
      </c>
    </row>
    <row r="19" spans="1:6" ht="22" customHeight="1">
      <c r="A19" s="24">
        <v>16</v>
      </c>
      <c r="B19" s="15" t="s">
        <v>65</v>
      </c>
      <c r="C19" s="22" t="s">
        <v>2</v>
      </c>
      <c r="D19" s="22" t="s">
        <v>3</v>
      </c>
      <c r="E19" s="15" t="s">
        <v>36</v>
      </c>
      <c r="F19" s="42">
        <v>2.488425925925926E-3</v>
      </c>
    </row>
    <row r="20" spans="1:6" ht="22" customHeight="1">
      <c r="A20" s="24">
        <v>17</v>
      </c>
      <c r="B20" s="15" t="s">
        <v>80</v>
      </c>
      <c r="C20" s="23"/>
      <c r="D20" s="22" t="s">
        <v>3</v>
      </c>
      <c r="E20" s="15" t="s">
        <v>39</v>
      </c>
      <c r="F20" s="42">
        <f>VLOOKUP(B20,'Song Tracker'!$A$3:$F$48,6,FALSE)</f>
        <v>2.6041666666666665E-3</v>
      </c>
    </row>
    <row r="21" spans="1:6" ht="22" customHeight="1">
      <c r="A21" s="24">
        <v>18</v>
      </c>
      <c r="B21" s="15" t="s">
        <v>85</v>
      </c>
      <c r="C21" s="22" t="s">
        <v>2</v>
      </c>
      <c r="D21" s="22" t="s">
        <v>3</v>
      </c>
      <c r="E21" s="15" t="s">
        <v>48</v>
      </c>
      <c r="F21" s="42">
        <v>1.9791666666666668E-3</v>
      </c>
    </row>
    <row r="22" spans="1:6" ht="22" customHeight="1">
      <c r="A22" s="24">
        <v>19</v>
      </c>
      <c r="B22" s="15" t="s">
        <v>46</v>
      </c>
      <c r="C22" s="22" t="s">
        <v>2</v>
      </c>
      <c r="D22" s="22" t="s">
        <v>3</v>
      </c>
      <c r="E22" s="15" t="s">
        <v>48</v>
      </c>
      <c r="F22" s="42">
        <v>1.7476851851851852E-3</v>
      </c>
    </row>
    <row r="23" spans="1:6" ht="22" customHeight="1">
      <c r="A23" s="24">
        <v>20</v>
      </c>
      <c r="B23" s="15" t="s">
        <v>245</v>
      </c>
      <c r="C23" s="22" t="s">
        <v>2</v>
      </c>
      <c r="D23" s="22" t="s">
        <v>3</v>
      </c>
      <c r="E23" s="15" t="s">
        <v>39</v>
      </c>
      <c r="F23" s="42">
        <v>2.5810185185185185E-3</v>
      </c>
    </row>
    <row r="24" spans="1:6" ht="22" customHeight="1">
      <c r="A24" s="24">
        <v>21</v>
      </c>
      <c r="B24" s="15" t="s">
        <v>101</v>
      </c>
      <c r="C24" s="22" t="s">
        <v>2</v>
      </c>
      <c r="D24" s="22" t="s">
        <v>3</v>
      </c>
      <c r="E24" s="15" t="s">
        <v>31</v>
      </c>
      <c r="F24" s="42">
        <v>4.1319444444444442E-3</v>
      </c>
    </row>
    <row r="25" spans="1:6" ht="22" customHeight="1">
      <c r="A25" s="24">
        <v>22</v>
      </c>
      <c r="B25" s="15" t="s">
        <v>82</v>
      </c>
      <c r="C25" s="22" t="s">
        <v>2</v>
      </c>
      <c r="D25" s="23"/>
      <c r="E25" s="15" t="s">
        <v>36</v>
      </c>
      <c r="F25" s="42">
        <v>3.8541666666666663E-3</v>
      </c>
    </row>
    <row r="26" spans="1:6" ht="22" customHeight="1">
      <c r="A26" s="24">
        <v>23</v>
      </c>
      <c r="B26" s="15" t="s">
        <v>34</v>
      </c>
      <c r="C26" s="22" t="s">
        <v>2</v>
      </c>
      <c r="D26" s="22" t="s">
        <v>3</v>
      </c>
      <c r="E26" s="15" t="s">
        <v>36</v>
      </c>
      <c r="F26" s="42">
        <f>VLOOKUP(B26,'Song Tracker'!$A$3:$F$48,6,FALSE)</f>
        <v>3.9583333333333337E-3</v>
      </c>
    </row>
    <row r="27" spans="1:6" ht="22" customHeight="1">
      <c r="A27" s="24">
        <v>24</v>
      </c>
      <c r="B27" s="15" t="s">
        <v>41</v>
      </c>
      <c r="C27" s="22" t="s">
        <v>2</v>
      </c>
      <c r="D27" s="22" t="s">
        <v>3</v>
      </c>
      <c r="E27" s="15" t="s">
        <v>39</v>
      </c>
      <c r="F27" s="42">
        <v>2.7199074074074074E-3</v>
      </c>
    </row>
    <row r="28" spans="1:6" ht="22" customHeight="1">
      <c r="A28" s="24">
        <v>25</v>
      </c>
      <c r="B28" s="15" t="s">
        <v>120</v>
      </c>
      <c r="C28" s="22" t="s">
        <v>2</v>
      </c>
      <c r="D28" s="22" t="s">
        <v>3</v>
      </c>
      <c r="E28" s="15" t="s">
        <v>31</v>
      </c>
      <c r="F28" s="42">
        <f>VLOOKUP(B28,'Song Tracker'!$A$3:$F$48,6,FALSE)</f>
        <v>2.0833333333333333E-3</v>
      </c>
    </row>
    <row r="29" spans="1:6" ht="22" customHeight="1">
      <c r="A29" s="24">
        <v>26</v>
      </c>
      <c r="B29" s="15" t="s">
        <v>74</v>
      </c>
      <c r="C29" s="22" t="s">
        <v>2</v>
      </c>
      <c r="D29" s="22" t="s">
        <v>3</v>
      </c>
      <c r="E29" s="15" t="s">
        <v>39</v>
      </c>
      <c r="F29" s="42">
        <v>4.6874999999999998E-3</v>
      </c>
    </row>
    <row r="30" spans="1:6" ht="22" customHeight="1">
      <c r="A30" s="24">
        <v>27</v>
      </c>
      <c r="B30" s="15" t="s">
        <v>123</v>
      </c>
      <c r="C30" s="22" t="s">
        <v>2</v>
      </c>
      <c r="D30" s="22" t="s">
        <v>3</v>
      </c>
      <c r="E30" s="15" t="s">
        <v>36</v>
      </c>
      <c r="F30" s="42">
        <v>3.3217592592592595E-3</v>
      </c>
    </row>
    <row r="31" spans="1:6" ht="22" customHeight="1">
      <c r="A31" s="24">
        <v>28</v>
      </c>
      <c r="B31" s="15" t="s">
        <v>103</v>
      </c>
      <c r="C31" s="22" t="s">
        <v>2</v>
      </c>
      <c r="D31" s="22" t="s">
        <v>3</v>
      </c>
      <c r="E31" s="15" t="s">
        <v>31</v>
      </c>
      <c r="F31" s="42">
        <v>5.9606481481481481E-3</v>
      </c>
    </row>
    <row r="32" spans="1:6">
      <c r="A32" s="16"/>
      <c r="B32" s="14"/>
      <c r="C32" s="17"/>
      <c r="D32" s="17"/>
      <c r="E32" s="14"/>
      <c r="F32" s="43"/>
    </row>
    <row r="33" spans="1:6" ht="22" customHeight="1" thickBot="1">
      <c r="A33" s="18"/>
      <c r="B33" s="19" t="s">
        <v>243</v>
      </c>
      <c r="C33" s="20"/>
      <c r="D33" s="20"/>
      <c r="E33" s="19"/>
      <c r="F33" s="21">
        <f>SUM(F4:F32)</f>
        <v>8.5740740740740742E-2</v>
      </c>
    </row>
  </sheetData>
  <mergeCells count="2">
    <mergeCell ref="A1:F1"/>
    <mergeCell ref="A2:F2"/>
  </mergeCells>
  <hyperlinks>
    <hyperlink ref="C4" r:id="rId1" xr:uid="{00000000-0004-0000-0E00-000000000000}"/>
    <hyperlink ref="D4" r:id="rId2" xr:uid="{00000000-0004-0000-0E00-000001000000}"/>
    <hyperlink ref="C5" r:id="rId3" xr:uid="{00000000-0004-0000-0E00-000002000000}"/>
    <hyperlink ref="D5" r:id="rId4" xr:uid="{00000000-0004-0000-0E00-000003000000}"/>
    <hyperlink ref="C6" r:id="rId5" xr:uid="{00000000-0004-0000-0E00-000004000000}"/>
    <hyperlink ref="D6" r:id="rId6" xr:uid="{00000000-0004-0000-0E00-000005000000}"/>
    <hyperlink ref="C7" r:id="rId7" xr:uid="{00000000-0004-0000-0E00-000006000000}"/>
    <hyperlink ref="D7" r:id="rId8" xr:uid="{00000000-0004-0000-0E00-000007000000}"/>
    <hyperlink ref="C8" r:id="rId9" xr:uid="{00000000-0004-0000-0E00-000008000000}"/>
    <hyperlink ref="D8" r:id="rId10" xr:uid="{00000000-0004-0000-0E00-000009000000}"/>
    <hyperlink ref="C9" r:id="rId11" xr:uid="{00000000-0004-0000-0E00-00000A000000}"/>
    <hyperlink ref="D9" r:id="rId12" xr:uid="{00000000-0004-0000-0E00-00000B000000}"/>
    <hyperlink ref="C10" r:id="rId13" xr:uid="{00000000-0004-0000-0E00-00000C000000}"/>
    <hyperlink ref="D10" r:id="rId14" xr:uid="{00000000-0004-0000-0E00-00000D000000}"/>
    <hyperlink ref="C12" r:id="rId15" xr:uid="{00000000-0004-0000-0E00-00000E000000}"/>
    <hyperlink ref="D12" r:id="rId16" xr:uid="{00000000-0004-0000-0E00-00000F000000}"/>
    <hyperlink ref="C13" r:id="rId17" xr:uid="{00000000-0004-0000-0E00-000010000000}"/>
    <hyperlink ref="D13" r:id="rId18" xr:uid="{00000000-0004-0000-0E00-000011000000}"/>
    <hyperlink ref="C14" r:id="rId19" xr:uid="{00000000-0004-0000-0E00-000012000000}"/>
    <hyperlink ref="D14" r:id="rId20" xr:uid="{00000000-0004-0000-0E00-000013000000}"/>
    <hyperlink ref="C15" r:id="rId21" xr:uid="{00000000-0004-0000-0E00-000014000000}"/>
    <hyperlink ref="D15" r:id="rId22" xr:uid="{00000000-0004-0000-0E00-000015000000}"/>
    <hyperlink ref="C16" r:id="rId23" xr:uid="{00000000-0004-0000-0E00-000016000000}"/>
    <hyperlink ref="D16" r:id="rId24" xr:uid="{00000000-0004-0000-0E00-000017000000}"/>
    <hyperlink ref="C17" r:id="rId25" xr:uid="{00000000-0004-0000-0E00-000018000000}"/>
    <hyperlink ref="D17" r:id="rId26" xr:uid="{00000000-0004-0000-0E00-000019000000}"/>
    <hyperlink ref="C18" r:id="rId27" xr:uid="{00000000-0004-0000-0E00-00001A000000}"/>
    <hyperlink ref="D18" r:id="rId28" xr:uid="{00000000-0004-0000-0E00-00001B000000}"/>
    <hyperlink ref="C19" r:id="rId29" xr:uid="{00000000-0004-0000-0E00-00001C000000}"/>
    <hyperlink ref="D19" r:id="rId30" xr:uid="{00000000-0004-0000-0E00-00001D000000}"/>
    <hyperlink ref="D20" r:id="rId31" xr:uid="{00000000-0004-0000-0E00-00001E000000}"/>
    <hyperlink ref="C21" r:id="rId32" xr:uid="{00000000-0004-0000-0E00-00001F000000}"/>
    <hyperlink ref="D21" r:id="rId33" xr:uid="{00000000-0004-0000-0E00-000020000000}"/>
    <hyperlink ref="C22" r:id="rId34" xr:uid="{00000000-0004-0000-0E00-000021000000}"/>
    <hyperlink ref="D22" r:id="rId35" xr:uid="{00000000-0004-0000-0E00-000022000000}"/>
    <hyperlink ref="C23" r:id="rId36" xr:uid="{00000000-0004-0000-0E00-000023000000}"/>
    <hyperlink ref="D23" r:id="rId37" xr:uid="{00000000-0004-0000-0E00-000024000000}"/>
    <hyperlink ref="C24" r:id="rId38" xr:uid="{00000000-0004-0000-0E00-000025000000}"/>
    <hyperlink ref="D24" r:id="rId39" xr:uid="{00000000-0004-0000-0E00-000026000000}"/>
    <hyperlink ref="C25" r:id="rId40" xr:uid="{00000000-0004-0000-0E00-000027000000}"/>
    <hyperlink ref="C26" r:id="rId41" xr:uid="{00000000-0004-0000-0E00-000028000000}"/>
    <hyperlink ref="D26" r:id="rId42" xr:uid="{00000000-0004-0000-0E00-000029000000}"/>
    <hyperlink ref="C27" r:id="rId43" xr:uid="{00000000-0004-0000-0E00-00002A000000}"/>
    <hyperlink ref="D27" r:id="rId44" xr:uid="{00000000-0004-0000-0E00-00002B000000}"/>
    <hyperlink ref="C28" r:id="rId45" xr:uid="{00000000-0004-0000-0E00-00002C000000}"/>
    <hyperlink ref="D28" r:id="rId46" xr:uid="{00000000-0004-0000-0E00-00002D000000}"/>
    <hyperlink ref="C29" r:id="rId47" xr:uid="{00000000-0004-0000-0E00-00002E000000}"/>
    <hyperlink ref="D29" r:id="rId48" xr:uid="{00000000-0004-0000-0E00-00002F000000}"/>
    <hyperlink ref="C30" r:id="rId49" xr:uid="{00000000-0004-0000-0E00-000030000000}"/>
    <hyperlink ref="D30" r:id="rId50" xr:uid="{00000000-0004-0000-0E00-000031000000}"/>
    <hyperlink ref="C31" r:id="rId51" xr:uid="{00000000-0004-0000-0E00-000032000000}"/>
    <hyperlink ref="D31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5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266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99</v>
      </c>
      <c r="C6" s="22" t="s">
        <v>2</v>
      </c>
      <c r="D6" s="22" t="s">
        <v>3</v>
      </c>
      <c r="E6" s="15" t="s">
        <v>39</v>
      </c>
      <c r="F6" s="42">
        <v>2.9513888888888888E-3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106</v>
      </c>
      <c r="C8" s="22" t="s">
        <v>2</v>
      </c>
      <c r="D8" s="22" t="s">
        <v>3</v>
      </c>
      <c r="E8" s="15" t="s">
        <v>36</v>
      </c>
      <c r="F8" s="42">
        <v>3.3680555555555556E-3</v>
      </c>
    </row>
    <row r="9" spans="1:6" ht="22" customHeight="1">
      <c r="A9" s="24">
        <v>6</v>
      </c>
      <c r="B9" s="15" t="s">
        <v>114</v>
      </c>
      <c r="C9" s="22" t="s">
        <v>2</v>
      </c>
      <c r="D9" s="22" t="s">
        <v>3</v>
      </c>
      <c r="E9" s="15" t="s">
        <v>36</v>
      </c>
      <c r="F9" s="42">
        <v>3.4606481481481485E-3</v>
      </c>
    </row>
    <row r="10" spans="1:6" ht="22" customHeight="1">
      <c r="A10" s="24">
        <v>7</v>
      </c>
      <c r="B10" s="15" t="s">
        <v>57</v>
      </c>
      <c r="C10" s="22" t="s">
        <v>2</v>
      </c>
      <c r="D10" s="22" t="s">
        <v>3</v>
      </c>
      <c r="E10" s="15" t="s">
        <v>39</v>
      </c>
      <c r="F10" s="42">
        <f>VLOOKUP(B10,'Song Tracker'!$A$3:$F$48,6,FALSE)</f>
        <v>2.3032407407407407E-3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70</v>
      </c>
      <c r="C12" s="22" t="s">
        <v>2</v>
      </c>
      <c r="D12" s="22" t="s">
        <v>3</v>
      </c>
      <c r="E12" s="15" t="s">
        <v>31</v>
      </c>
      <c r="F12" s="42">
        <v>2.4305555555555556E-3</v>
      </c>
    </row>
    <row r="13" spans="1:6" ht="22" customHeight="1">
      <c r="A13" s="24">
        <v>10</v>
      </c>
      <c r="B13" s="15" t="s">
        <v>116</v>
      </c>
      <c r="C13" s="22" t="s">
        <v>2</v>
      </c>
      <c r="D13" s="22" t="s">
        <v>3</v>
      </c>
      <c r="E13" s="15" t="s">
        <v>36</v>
      </c>
      <c r="F13" s="42">
        <v>2.2569444444444442E-3</v>
      </c>
    </row>
    <row r="14" spans="1:6" ht="22" customHeight="1">
      <c r="A14" s="24">
        <v>11</v>
      </c>
      <c r="B14" s="15" t="s">
        <v>63</v>
      </c>
      <c r="C14" s="22" t="s">
        <v>2</v>
      </c>
      <c r="D14" s="22" t="s">
        <v>3</v>
      </c>
      <c r="E14" s="15" t="s">
        <v>31</v>
      </c>
      <c r="F14" s="42">
        <v>2.7893518518518519E-3</v>
      </c>
    </row>
    <row r="15" spans="1:6" ht="22" customHeight="1">
      <c r="A15" s="24">
        <v>12</v>
      </c>
      <c r="B15" s="15" t="s">
        <v>94</v>
      </c>
      <c r="C15" s="22" t="s">
        <v>2</v>
      </c>
      <c r="D15" s="22" t="s">
        <v>3</v>
      </c>
      <c r="E15" s="15" t="s">
        <v>39</v>
      </c>
      <c r="F15" s="42">
        <v>3.5995370370370369E-3</v>
      </c>
    </row>
    <row r="16" spans="1:6" ht="22" customHeight="1">
      <c r="A16" s="24">
        <v>13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14</v>
      </c>
      <c r="B17" s="15" t="s">
        <v>85</v>
      </c>
      <c r="C17" s="22" t="s">
        <v>2</v>
      </c>
      <c r="D17" s="22" t="s">
        <v>3</v>
      </c>
      <c r="E17" s="15" t="s">
        <v>48</v>
      </c>
      <c r="F17" s="42">
        <v>1.9791666666666668E-3</v>
      </c>
    </row>
    <row r="18" spans="1:6" ht="22" customHeight="1">
      <c r="A18" s="24">
        <v>15</v>
      </c>
      <c r="B18" s="15" t="s">
        <v>46</v>
      </c>
      <c r="C18" s="22" t="s">
        <v>2</v>
      </c>
      <c r="D18" s="22" t="s">
        <v>3</v>
      </c>
      <c r="E18" s="15" t="s">
        <v>48</v>
      </c>
      <c r="F18" s="42">
        <v>1.7476851851851852E-3</v>
      </c>
    </row>
    <row r="19" spans="1:6" ht="22" customHeight="1">
      <c r="A19" s="24">
        <v>16</v>
      </c>
      <c r="B19" s="15" t="s">
        <v>101</v>
      </c>
      <c r="C19" s="22" t="s">
        <v>2</v>
      </c>
      <c r="D19" s="22" t="s">
        <v>3</v>
      </c>
      <c r="E19" s="15" t="s">
        <v>31</v>
      </c>
      <c r="F19" s="42">
        <v>4.1319444444444442E-3</v>
      </c>
    </row>
    <row r="20" spans="1:6" ht="22" customHeight="1">
      <c r="A20" s="24">
        <v>17</v>
      </c>
      <c r="B20" s="15" t="s">
        <v>82</v>
      </c>
      <c r="C20" s="22" t="s">
        <v>2</v>
      </c>
      <c r="D20" s="23"/>
      <c r="E20" s="15" t="s">
        <v>36</v>
      </c>
      <c r="F20" s="42">
        <v>3.8541666666666663E-3</v>
      </c>
    </row>
    <row r="21" spans="1:6" ht="22" customHeight="1">
      <c r="A21" s="24">
        <v>18</v>
      </c>
      <c r="B21" s="15" t="s">
        <v>74</v>
      </c>
      <c r="C21" s="22" t="s">
        <v>2</v>
      </c>
      <c r="D21" s="22" t="s">
        <v>3</v>
      </c>
      <c r="E21" s="15" t="s">
        <v>39</v>
      </c>
      <c r="F21" s="42">
        <v>4.6874999999999998E-3</v>
      </c>
    </row>
    <row r="22" spans="1:6" ht="22" customHeight="1">
      <c r="A22" s="24">
        <v>19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 t="s">
        <v>248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>
      <c r="A24" s="16"/>
      <c r="B24" s="14"/>
      <c r="C24" s="17"/>
      <c r="D24" s="17"/>
      <c r="E24" s="14"/>
      <c r="F24" s="43"/>
    </row>
    <row r="25" spans="1:6" ht="22" customHeight="1" thickBot="1">
      <c r="A25" s="18"/>
      <c r="B25" s="19" t="s">
        <v>243</v>
      </c>
      <c r="C25" s="20"/>
      <c r="D25" s="20"/>
      <c r="E25" s="19"/>
      <c r="F25" s="21">
        <f>SUM(F4:F24)</f>
        <v>6.3819444444444443E-2</v>
      </c>
    </row>
  </sheetData>
  <mergeCells count="2">
    <mergeCell ref="A1:F1"/>
    <mergeCell ref="A2:F2"/>
  </mergeCells>
  <hyperlinks>
    <hyperlink ref="C4" r:id="rId1" xr:uid="{00000000-0004-0000-0F00-000000000000}"/>
    <hyperlink ref="D4" r:id="rId2" xr:uid="{00000000-0004-0000-0F00-000001000000}"/>
    <hyperlink ref="C5" r:id="rId3" xr:uid="{00000000-0004-0000-0F00-000002000000}"/>
    <hyperlink ref="D5" r:id="rId4" xr:uid="{00000000-0004-0000-0F00-000003000000}"/>
    <hyperlink ref="C6" r:id="rId5" xr:uid="{00000000-0004-0000-0F00-000004000000}"/>
    <hyperlink ref="D6" r:id="rId6" xr:uid="{00000000-0004-0000-0F00-000005000000}"/>
    <hyperlink ref="C7" r:id="rId7" xr:uid="{00000000-0004-0000-0F00-000006000000}"/>
    <hyperlink ref="D7" r:id="rId8" xr:uid="{00000000-0004-0000-0F00-000007000000}"/>
    <hyperlink ref="C8" r:id="rId9" xr:uid="{00000000-0004-0000-0F00-000008000000}"/>
    <hyperlink ref="D8" r:id="rId10" xr:uid="{00000000-0004-0000-0F00-000009000000}"/>
    <hyperlink ref="C9" r:id="rId11" xr:uid="{00000000-0004-0000-0F00-00000A000000}"/>
    <hyperlink ref="D9" r:id="rId12" xr:uid="{00000000-0004-0000-0F00-00000B000000}"/>
    <hyperlink ref="C10" r:id="rId13" xr:uid="{00000000-0004-0000-0F00-00000C000000}"/>
    <hyperlink ref="D10" r:id="rId14" xr:uid="{00000000-0004-0000-0F00-00000D000000}"/>
    <hyperlink ref="C11" r:id="rId15" xr:uid="{00000000-0004-0000-0F00-00000E000000}"/>
    <hyperlink ref="D11" r:id="rId16" xr:uid="{00000000-0004-0000-0F00-00000F000000}"/>
    <hyperlink ref="C12" r:id="rId17" xr:uid="{00000000-0004-0000-0F00-000010000000}"/>
    <hyperlink ref="D12" r:id="rId18" xr:uid="{00000000-0004-0000-0F00-000011000000}"/>
    <hyperlink ref="C13" r:id="rId19" xr:uid="{00000000-0004-0000-0F00-000012000000}"/>
    <hyperlink ref="D13" r:id="rId20" xr:uid="{00000000-0004-0000-0F00-000013000000}"/>
    <hyperlink ref="C14" r:id="rId21" xr:uid="{00000000-0004-0000-0F00-000014000000}"/>
    <hyperlink ref="D14" r:id="rId22" xr:uid="{00000000-0004-0000-0F00-000015000000}"/>
    <hyperlink ref="C15" r:id="rId23" xr:uid="{00000000-0004-0000-0F00-000016000000}"/>
    <hyperlink ref="D15" r:id="rId24" xr:uid="{00000000-0004-0000-0F00-000017000000}"/>
    <hyperlink ref="D16" r:id="rId25" xr:uid="{00000000-0004-0000-0F00-000018000000}"/>
    <hyperlink ref="C17" r:id="rId26" xr:uid="{00000000-0004-0000-0F00-000019000000}"/>
    <hyperlink ref="D17" r:id="rId27" xr:uid="{00000000-0004-0000-0F00-00001A000000}"/>
    <hyperlink ref="C18" r:id="rId28" xr:uid="{00000000-0004-0000-0F00-00001B000000}"/>
    <hyperlink ref="D18" r:id="rId29" xr:uid="{00000000-0004-0000-0F00-00001C000000}"/>
    <hyperlink ref="C19" r:id="rId30" xr:uid="{00000000-0004-0000-0F00-00001D000000}"/>
    <hyperlink ref="D19" r:id="rId31" xr:uid="{00000000-0004-0000-0F00-00001E000000}"/>
    <hyperlink ref="C20" r:id="rId32" xr:uid="{00000000-0004-0000-0F00-00001F000000}"/>
    <hyperlink ref="C21" r:id="rId33" xr:uid="{00000000-0004-0000-0F00-000020000000}"/>
    <hyperlink ref="D21" r:id="rId34" xr:uid="{00000000-0004-0000-0F00-000021000000}"/>
    <hyperlink ref="C22" r:id="rId35" xr:uid="{00000000-0004-0000-0F00-000022000000}"/>
    <hyperlink ref="D22" r:id="rId36" xr:uid="{00000000-0004-0000-0F00-000023000000}"/>
    <hyperlink ref="C23" r:id="rId37" xr:uid="{00000000-0004-0000-0F00-000024000000}"/>
    <hyperlink ref="D23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9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267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120</v>
      </c>
      <c r="C4" s="22" t="s">
        <v>2</v>
      </c>
      <c r="D4" s="22" t="s">
        <v>3</v>
      </c>
      <c r="E4" s="15" t="s">
        <v>31</v>
      </c>
      <c r="F4" s="42">
        <f>VLOOKUP(B4,'Song Tracker'!$A$3:$F$48,6,FALSE)</f>
        <v>2.0833333333333333E-3</v>
      </c>
    </row>
    <row r="5" spans="1:6" ht="22" customHeight="1">
      <c r="A5" s="24">
        <v>2</v>
      </c>
      <c r="B5" s="15" t="s">
        <v>99</v>
      </c>
      <c r="C5" s="22" t="s">
        <v>2</v>
      </c>
      <c r="D5" s="22" t="s">
        <v>3</v>
      </c>
      <c r="E5" s="15" t="s">
        <v>39</v>
      </c>
      <c r="F5" s="42">
        <v>2.9513888888888888E-3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106</v>
      </c>
      <c r="C9" s="22" t="s">
        <v>2</v>
      </c>
      <c r="D9" s="22" t="s">
        <v>3</v>
      </c>
      <c r="E9" s="15" t="s">
        <v>36</v>
      </c>
      <c r="F9" s="42">
        <v>3.3680555555555556E-3</v>
      </c>
    </row>
    <row r="10" spans="1:6" ht="22" customHeight="1">
      <c r="A10" s="24">
        <v>7</v>
      </c>
      <c r="B10" s="15" t="s">
        <v>63</v>
      </c>
      <c r="C10" s="22" t="s">
        <v>2</v>
      </c>
      <c r="D10" s="22" t="s">
        <v>3</v>
      </c>
      <c r="E10" s="15" t="s">
        <v>31</v>
      </c>
      <c r="F10" s="42">
        <v>2.7893518518518519E-3</v>
      </c>
    </row>
    <row r="11" spans="1:6" ht="22" customHeight="1">
      <c r="A11" s="24">
        <v>8</v>
      </c>
      <c r="B11" s="15" t="s">
        <v>80</v>
      </c>
      <c r="C11" s="23"/>
      <c r="D11" s="22" t="s">
        <v>3</v>
      </c>
      <c r="E11" s="15" t="s">
        <v>39</v>
      </c>
      <c r="F11" s="42">
        <f>VLOOKUP(B11,'Song Tracker'!$A$3:$F$48,6,FALSE)</f>
        <v>2.6041666666666665E-3</v>
      </c>
    </row>
    <row r="12" spans="1:6" ht="22" customHeight="1">
      <c r="A12" s="24">
        <v>9</v>
      </c>
      <c r="B12" s="15" t="s">
        <v>49</v>
      </c>
      <c r="C12" s="22" t="s">
        <v>2</v>
      </c>
      <c r="D12" s="22" t="s">
        <v>3</v>
      </c>
      <c r="E12" s="15" t="s">
        <v>31</v>
      </c>
      <c r="F12" s="42">
        <v>2.1874999999999998E-3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116</v>
      </c>
      <c r="C14" s="22" t="s">
        <v>2</v>
      </c>
      <c r="D14" s="22" t="s">
        <v>3</v>
      </c>
      <c r="E14" s="15" t="s">
        <v>36</v>
      </c>
      <c r="F14" s="42">
        <v>2.2569444444444442E-3</v>
      </c>
    </row>
    <row r="15" spans="1:6" ht="22" customHeight="1">
      <c r="A15" s="24">
        <v>12</v>
      </c>
      <c r="B15" s="15" t="s">
        <v>245</v>
      </c>
      <c r="C15" s="22" t="s">
        <v>2</v>
      </c>
      <c r="D15" s="22" t="s">
        <v>3</v>
      </c>
      <c r="E15" s="15" t="s">
        <v>39</v>
      </c>
      <c r="F15" s="42">
        <v>2.5810185185185185E-3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 t="s">
        <v>249</v>
      </c>
      <c r="B17" s="15" t="s">
        <v>103</v>
      </c>
      <c r="C17" s="22" t="s">
        <v>2</v>
      </c>
      <c r="D17" s="22" t="s">
        <v>3</v>
      </c>
      <c r="E17" s="15" t="s">
        <v>31</v>
      </c>
      <c r="F17" s="42">
        <v>5.9606481481481481E-3</v>
      </c>
    </row>
    <row r="18" spans="1:6">
      <c r="A18" s="16"/>
      <c r="B18" s="14"/>
      <c r="C18" s="17"/>
      <c r="D18" s="17"/>
      <c r="E18" s="14"/>
      <c r="F18" s="43"/>
    </row>
    <row r="19" spans="1:6" ht="22" customHeight="1" thickBot="1">
      <c r="A19" s="18"/>
      <c r="B19" s="19" t="s">
        <v>243</v>
      </c>
      <c r="C19" s="20"/>
      <c r="D19" s="20"/>
      <c r="E19" s="19"/>
      <c r="F19" s="21">
        <f>SUM(F4:F18)</f>
        <v>4.0081018518518516E-2</v>
      </c>
    </row>
  </sheetData>
  <mergeCells count="2">
    <mergeCell ref="A1:F1"/>
    <mergeCell ref="A2:F2"/>
  </mergeCells>
  <hyperlinks>
    <hyperlink ref="C4" r:id="rId1" xr:uid="{00000000-0004-0000-1000-000000000000}"/>
    <hyperlink ref="D4" r:id="rId2" xr:uid="{00000000-0004-0000-1000-000001000000}"/>
    <hyperlink ref="C5" r:id="rId3" xr:uid="{00000000-0004-0000-1000-000002000000}"/>
    <hyperlink ref="D5" r:id="rId4" xr:uid="{00000000-0004-0000-1000-000003000000}"/>
    <hyperlink ref="C6" r:id="rId5" xr:uid="{00000000-0004-0000-1000-000004000000}"/>
    <hyperlink ref="D6" r:id="rId6" xr:uid="{00000000-0004-0000-1000-000005000000}"/>
    <hyperlink ref="C7" r:id="rId7" xr:uid="{00000000-0004-0000-1000-000006000000}"/>
    <hyperlink ref="D7" r:id="rId8" xr:uid="{00000000-0004-0000-1000-000007000000}"/>
    <hyperlink ref="C8" r:id="rId9" xr:uid="{00000000-0004-0000-1000-000008000000}"/>
    <hyperlink ref="D8" r:id="rId10" xr:uid="{00000000-0004-0000-1000-000009000000}"/>
    <hyperlink ref="C9" r:id="rId11" xr:uid="{00000000-0004-0000-1000-00000A000000}"/>
    <hyperlink ref="D9" r:id="rId12" xr:uid="{00000000-0004-0000-1000-00000B000000}"/>
    <hyperlink ref="C10" r:id="rId13" xr:uid="{00000000-0004-0000-1000-00000C000000}"/>
    <hyperlink ref="D10" r:id="rId14" xr:uid="{00000000-0004-0000-1000-00000D000000}"/>
    <hyperlink ref="D11" r:id="rId15" xr:uid="{00000000-0004-0000-1000-00000E000000}"/>
    <hyperlink ref="C12" r:id="rId16" xr:uid="{00000000-0004-0000-1000-00000F000000}"/>
    <hyperlink ref="D12" r:id="rId17" xr:uid="{00000000-0004-0000-1000-000010000000}"/>
    <hyperlink ref="C13" r:id="rId18" xr:uid="{00000000-0004-0000-1000-000011000000}"/>
    <hyperlink ref="D13" r:id="rId19" xr:uid="{00000000-0004-0000-1000-000012000000}"/>
    <hyperlink ref="C14" r:id="rId20" xr:uid="{00000000-0004-0000-1000-000013000000}"/>
    <hyperlink ref="D14" r:id="rId21" xr:uid="{00000000-0004-0000-1000-000014000000}"/>
    <hyperlink ref="C15" r:id="rId22" xr:uid="{00000000-0004-0000-1000-000015000000}"/>
    <hyperlink ref="D15" r:id="rId23" xr:uid="{00000000-0004-0000-1000-000016000000}"/>
    <hyperlink ref="C16" r:id="rId24" xr:uid="{00000000-0004-0000-1000-000017000000}"/>
    <hyperlink ref="D16" r:id="rId25" xr:uid="{00000000-0004-0000-1000-000018000000}"/>
    <hyperlink ref="C17" r:id="rId26" xr:uid="{00000000-0004-0000-1000-000019000000}"/>
    <hyperlink ref="D17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268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94</v>
      </c>
      <c r="C7" s="22" t="s">
        <v>2</v>
      </c>
      <c r="D7" s="22" t="s">
        <v>3</v>
      </c>
      <c r="E7" s="15" t="s">
        <v>39</v>
      </c>
      <c r="F7" s="42">
        <v>3.5995370370370369E-3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99</v>
      </c>
      <c r="C9" s="22" t="s">
        <v>2</v>
      </c>
      <c r="D9" s="22" t="s">
        <v>3</v>
      </c>
      <c r="E9" s="15" t="s">
        <v>39</v>
      </c>
      <c r="F9" s="42">
        <v>2.9513888888888888E-3</v>
      </c>
    </row>
    <row r="10" spans="1:6" ht="22" customHeight="1">
      <c r="A10" s="24">
        <v>7</v>
      </c>
      <c r="B10" s="15" t="s">
        <v>82</v>
      </c>
      <c r="C10" s="22" t="s">
        <v>2</v>
      </c>
      <c r="D10" s="23"/>
      <c r="E10" s="15" t="s">
        <v>36</v>
      </c>
      <c r="F10" s="42">
        <v>3.8541666666666663E-3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80</v>
      </c>
      <c r="C12" s="23"/>
      <c r="D12" s="22" t="s">
        <v>3</v>
      </c>
      <c r="E12" s="15" t="s">
        <v>39</v>
      </c>
      <c r="F12" s="42">
        <f>VLOOKUP(B12,'Song Tracker'!$A$3:$F$48,6,FALSE)</f>
        <v>2.6041666666666665E-3</v>
      </c>
    </row>
    <row r="13" spans="1:6" ht="22" customHeight="1">
      <c r="A13" s="24">
        <v>10</v>
      </c>
      <c r="B13" s="15" t="s">
        <v>46</v>
      </c>
      <c r="C13" s="22" t="s">
        <v>2</v>
      </c>
      <c r="D13" s="22" t="s">
        <v>3</v>
      </c>
      <c r="E13" s="15" t="s">
        <v>48</v>
      </c>
      <c r="F13" s="42">
        <v>1.7476851851851852E-3</v>
      </c>
    </row>
    <row r="14" spans="1:6" ht="22" customHeight="1">
      <c r="A14" s="24">
        <v>11</v>
      </c>
      <c r="B14" s="15" t="s">
        <v>123</v>
      </c>
      <c r="C14" s="22" t="s">
        <v>2</v>
      </c>
      <c r="D14" s="22" t="s">
        <v>3</v>
      </c>
      <c r="E14" s="15" t="s">
        <v>36</v>
      </c>
      <c r="F14" s="42">
        <v>3.3217592592592595E-3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3.2430555555555553E-2</v>
      </c>
    </row>
  </sheetData>
  <mergeCells count="2">
    <mergeCell ref="A1:F1"/>
    <mergeCell ref="A2:F2"/>
  </mergeCells>
  <hyperlinks>
    <hyperlink ref="C4" r:id="rId1" xr:uid="{00000000-0004-0000-1100-000000000000}"/>
    <hyperlink ref="D4" r:id="rId2" xr:uid="{00000000-0004-0000-1100-000001000000}"/>
    <hyperlink ref="C5" r:id="rId3" xr:uid="{00000000-0004-0000-1100-000002000000}"/>
    <hyperlink ref="D5" r:id="rId4" xr:uid="{00000000-0004-0000-1100-000003000000}"/>
    <hyperlink ref="C6" r:id="rId5" xr:uid="{00000000-0004-0000-1100-000004000000}"/>
    <hyperlink ref="D6" r:id="rId6" xr:uid="{00000000-0004-0000-1100-000005000000}"/>
    <hyperlink ref="C7" r:id="rId7" xr:uid="{00000000-0004-0000-1100-000006000000}"/>
    <hyperlink ref="D7" r:id="rId8" xr:uid="{00000000-0004-0000-1100-000007000000}"/>
    <hyperlink ref="C8" r:id="rId9" xr:uid="{00000000-0004-0000-1100-000008000000}"/>
    <hyperlink ref="D8" r:id="rId10" xr:uid="{00000000-0004-0000-1100-000009000000}"/>
    <hyperlink ref="C9" r:id="rId11" xr:uid="{00000000-0004-0000-1100-00000A000000}"/>
    <hyperlink ref="D9" r:id="rId12" xr:uid="{00000000-0004-0000-1100-00000B000000}"/>
    <hyperlink ref="C10" r:id="rId13" xr:uid="{00000000-0004-0000-1100-00000C000000}"/>
    <hyperlink ref="C11" r:id="rId14" xr:uid="{00000000-0004-0000-1100-00000D000000}"/>
    <hyperlink ref="D11" r:id="rId15" xr:uid="{00000000-0004-0000-1100-00000E000000}"/>
    <hyperlink ref="D12" r:id="rId16" xr:uid="{00000000-0004-0000-1100-00000F000000}"/>
    <hyperlink ref="C13" r:id="rId17" xr:uid="{00000000-0004-0000-1100-000010000000}"/>
    <hyperlink ref="D13" r:id="rId18" xr:uid="{00000000-0004-0000-1100-000011000000}"/>
    <hyperlink ref="C14" r:id="rId19" xr:uid="{00000000-0004-0000-1100-000012000000}"/>
    <hyperlink ref="D14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269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96</v>
      </c>
      <c r="C12" s="22" t="s">
        <v>2</v>
      </c>
      <c r="D12" s="22" t="s">
        <v>3</v>
      </c>
      <c r="E12" s="15" t="s">
        <v>48</v>
      </c>
      <c r="F12" s="42">
        <f>VLOOKUP(B12,'Song Tracker'!$A$3:$F$48,6,FALSE)</f>
        <v>1.9675925925925924E-3</v>
      </c>
    </row>
    <row r="13" spans="1:6" ht="22" customHeight="1">
      <c r="A13" s="24">
        <v>10</v>
      </c>
      <c r="B13" s="15" t="s">
        <v>52</v>
      </c>
      <c r="C13" s="22" t="s">
        <v>2</v>
      </c>
      <c r="D13" s="22" t="s">
        <v>3</v>
      </c>
      <c r="E13" s="15" t="s">
        <v>31</v>
      </c>
      <c r="F13" s="42">
        <f>VLOOKUP(B13,'Song Tracker'!$A$3:$F$48,6,FALSE)</f>
        <v>5.5555555555555558E-3</v>
      </c>
    </row>
    <row r="14" spans="1:6" ht="22" customHeight="1">
      <c r="A14" s="24">
        <v>11</v>
      </c>
      <c r="B14" s="15" t="s">
        <v>82</v>
      </c>
      <c r="C14" s="22" t="s">
        <v>2</v>
      </c>
      <c r="D14" s="23"/>
      <c r="E14" s="15" t="s">
        <v>36</v>
      </c>
      <c r="F14" s="42">
        <v>3.8541666666666663E-3</v>
      </c>
    </row>
    <row r="15" spans="1:6" ht="22" customHeight="1">
      <c r="A15" s="24">
        <v>12</v>
      </c>
      <c r="B15" s="15" t="s">
        <v>97</v>
      </c>
      <c r="C15" s="22" t="s">
        <v>2</v>
      </c>
      <c r="D15" s="22" t="s">
        <v>3</v>
      </c>
      <c r="E15" s="15" t="s">
        <v>31</v>
      </c>
      <c r="F15" s="42">
        <v>3.2291666666666666E-3</v>
      </c>
    </row>
    <row r="16" spans="1:6" ht="22" customHeight="1">
      <c r="A16" s="24">
        <v>13</v>
      </c>
      <c r="B16" s="15" t="s">
        <v>123</v>
      </c>
      <c r="C16" s="22" t="s">
        <v>2</v>
      </c>
      <c r="D16" s="22" t="s">
        <v>3</v>
      </c>
      <c r="E16" s="15" t="s">
        <v>36</v>
      </c>
      <c r="F16" s="42">
        <v>3.3217592592592595E-3</v>
      </c>
    </row>
    <row r="17" spans="1:6" ht="22" customHeight="1">
      <c r="A17" s="24">
        <v>14</v>
      </c>
      <c r="B17" s="15" t="s">
        <v>110</v>
      </c>
      <c r="C17" s="22" t="s">
        <v>2</v>
      </c>
      <c r="D17" s="22" t="s">
        <v>3</v>
      </c>
      <c r="E17" s="15" t="s">
        <v>112</v>
      </c>
      <c r="F17" s="42">
        <f>VLOOKUP(B17,'Song Tracker'!$A$3:$F$48,6,FALSE)</f>
        <v>3.472222222222222E-3</v>
      </c>
    </row>
    <row r="18" spans="1:6" ht="22" customHeight="1">
      <c r="A18" s="24">
        <v>15</v>
      </c>
      <c r="B18" s="15" t="s">
        <v>80</v>
      </c>
      <c r="C18" s="23"/>
      <c r="D18" s="22" t="s">
        <v>3</v>
      </c>
      <c r="E18" s="15" t="s">
        <v>39</v>
      </c>
      <c r="F18" s="42">
        <f>VLOOKUP(B18,'Song Tracker'!$A$3:$F$48,6,FALSE)</f>
        <v>2.6041666666666665E-3</v>
      </c>
    </row>
    <row r="19" spans="1:6" ht="22" customHeight="1">
      <c r="A19" s="24">
        <v>16</v>
      </c>
      <c r="B19" s="15" t="s">
        <v>76</v>
      </c>
      <c r="C19" s="22" t="s">
        <v>2</v>
      </c>
      <c r="D19" s="22" t="s">
        <v>3</v>
      </c>
      <c r="E19" s="15" t="s">
        <v>31</v>
      </c>
      <c r="F19" s="42">
        <f>VLOOKUP(B19,'Song Tracker'!$A$3:$F$48,6,FALSE)</f>
        <v>2.5115740740740741E-3</v>
      </c>
    </row>
    <row r="20" spans="1:6" ht="22" customHeight="1">
      <c r="A20" s="24">
        <v>17</v>
      </c>
      <c r="B20" s="15" t="s">
        <v>50</v>
      </c>
      <c r="C20" s="22" t="s">
        <v>2</v>
      </c>
      <c r="D20" s="22" t="s">
        <v>3</v>
      </c>
      <c r="E20" s="15" t="s">
        <v>48</v>
      </c>
      <c r="F20" s="42">
        <f>VLOOKUP(B20,'Song Tracker'!$A$3:$F$48,6,FALSE)</f>
        <v>3.3449074074074076E-3</v>
      </c>
    </row>
    <row r="21" spans="1:6" ht="22" customHeight="1">
      <c r="A21" s="24">
        <v>18</v>
      </c>
      <c r="B21" s="15" t="s">
        <v>101</v>
      </c>
      <c r="C21" s="22" t="s">
        <v>2</v>
      </c>
      <c r="D21" s="22" t="s">
        <v>3</v>
      </c>
      <c r="E21" s="15" t="s">
        <v>31</v>
      </c>
      <c r="F21" s="42">
        <v>4.1319444444444442E-3</v>
      </c>
    </row>
    <row r="22" spans="1:6" ht="22" customHeight="1">
      <c r="A22" s="24">
        <v>19</v>
      </c>
      <c r="B22" s="15" t="s">
        <v>99</v>
      </c>
      <c r="C22" s="22" t="s">
        <v>2</v>
      </c>
      <c r="D22" s="22" t="s">
        <v>3</v>
      </c>
      <c r="E22" s="15" t="s">
        <v>39</v>
      </c>
      <c r="F22" s="42">
        <v>2.9513888888888888E-3</v>
      </c>
    </row>
    <row r="23" spans="1:6" ht="22" customHeight="1">
      <c r="A23" s="24">
        <v>20</v>
      </c>
      <c r="B23" s="15" t="s">
        <v>104</v>
      </c>
      <c r="C23" s="22" t="s">
        <v>2</v>
      </c>
      <c r="D23" s="22" t="s">
        <v>3</v>
      </c>
      <c r="E23" s="15" t="s">
        <v>36</v>
      </c>
      <c r="F23" s="42">
        <f>VLOOKUP(B23,'Song Tracker'!$A$3:$F$48,6,FALSE)</f>
        <v>2.4305555555555556E-3</v>
      </c>
    </row>
    <row r="24" spans="1:6" ht="22" customHeight="1">
      <c r="A24" s="24">
        <v>22</v>
      </c>
      <c r="B24" s="15" t="s">
        <v>46</v>
      </c>
      <c r="C24" s="22" t="s">
        <v>2</v>
      </c>
      <c r="D24" s="22" t="s">
        <v>3</v>
      </c>
      <c r="E24" s="15" t="s">
        <v>48</v>
      </c>
      <c r="F24" s="42">
        <v>1.7476851851851852E-3</v>
      </c>
    </row>
    <row r="25" spans="1:6" ht="22" customHeight="1">
      <c r="A25" s="24">
        <v>23</v>
      </c>
      <c r="B25" s="15" t="s">
        <v>92</v>
      </c>
      <c r="C25" s="22" t="s">
        <v>2</v>
      </c>
      <c r="D25" s="22" t="s">
        <v>3</v>
      </c>
      <c r="E25" s="15" t="s">
        <v>36</v>
      </c>
      <c r="F25" s="42">
        <v>2.0486111111111113E-3</v>
      </c>
    </row>
    <row r="26" spans="1:6" ht="22" customHeight="1">
      <c r="A26" s="24">
        <v>24</v>
      </c>
      <c r="B26" s="15" t="s">
        <v>78</v>
      </c>
      <c r="C26" s="22" t="s">
        <v>2</v>
      </c>
      <c r="D26" s="22" t="s">
        <v>3</v>
      </c>
      <c r="E26" s="15" t="s">
        <v>39</v>
      </c>
      <c r="F26" s="42">
        <v>2.5810185185185185E-3</v>
      </c>
    </row>
    <row r="27" spans="1:6" ht="22" customHeight="1">
      <c r="A27" s="24">
        <v>25</v>
      </c>
      <c r="B27" s="15" t="s">
        <v>103</v>
      </c>
      <c r="C27" s="22" t="s">
        <v>2</v>
      </c>
      <c r="D27" s="22" t="s">
        <v>3</v>
      </c>
      <c r="E27" s="15" t="s">
        <v>31</v>
      </c>
      <c r="F27" s="42">
        <v>5.9606481481481481E-3</v>
      </c>
    </row>
    <row r="28" spans="1:6" ht="22" customHeight="1">
      <c r="A28" s="24">
        <v>26</v>
      </c>
      <c r="B28" s="15" t="s">
        <v>74</v>
      </c>
      <c r="C28" s="22" t="s">
        <v>2</v>
      </c>
      <c r="D28" s="22" t="s">
        <v>3</v>
      </c>
      <c r="E28" s="15" t="s">
        <v>39</v>
      </c>
      <c r="F28" s="42">
        <v>4.6874999999999998E-3</v>
      </c>
    </row>
    <row r="29" spans="1:6" ht="22" customHeight="1">
      <c r="A29" s="24">
        <v>27</v>
      </c>
      <c r="B29" s="15" t="s">
        <v>118</v>
      </c>
      <c r="C29" s="22" t="s">
        <v>2</v>
      </c>
      <c r="D29" s="22" t="s">
        <v>3</v>
      </c>
      <c r="E29" s="15" t="s">
        <v>36</v>
      </c>
      <c r="F29" s="42">
        <f>VLOOKUP(B29,'Song Tracker'!$A$3:$F$48,6,FALSE)</f>
        <v>3.472222222222222E-3</v>
      </c>
    </row>
    <row r="30" spans="1:6">
      <c r="A30" s="16"/>
      <c r="B30" s="14"/>
      <c r="C30" s="17"/>
      <c r="D30" s="17"/>
      <c r="E30" s="14"/>
      <c r="F30" s="43"/>
    </row>
    <row r="31" spans="1:6" ht="22" customHeight="1" thickBot="1">
      <c r="A31" s="18"/>
      <c r="B31" s="19" t="s">
        <v>243</v>
      </c>
      <c r="C31" s="20"/>
      <c r="D31" s="20"/>
      <c r="E31" s="19"/>
      <c r="F31" s="21">
        <f>SUM(F4:F30)</f>
        <v>8.1550925925925929E-2</v>
      </c>
    </row>
  </sheetData>
  <mergeCells count="2">
    <mergeCell ref="A1:F1"/>
    <mergeCell ref="A2:F2"/>
  </mergeCells>
  <hyperlinks>
    <hyperlink ref="C4" r:id="rId1" xr:uid="{00000000-0004-0000-1200-000000000000}"/>
    <hyperlink ref="D4" r:id="rId2" xr:uid="{00000000-0004-0000-1200-000001000000}"/>
    <hyperlink ref="C5" r:id="rId3" xr:uid="{00000000-0004-0000-1200-000002000000}"/>
    <hyperlink ref="D5" r:id="rId4" xr:uid="{00000000-0004-0000-1200-000003000000}"/>
    <hyperlink ref="C6" r:id="rId5" xr:uid="{00000000-0004-0000-1200-000004000000}"/>
    <hyperlink ref="D6" r:id="rId6" xr:uid="{00000000-0004-0000-1200-000005000000}"/>
    <hyperlink ref="C7" r:id="rId7" xr:uid="{00000000-0004-0000-1200-000006000000}"/>
    <hyperlink ref="D7" r:id="rId8" xr:uid="{00000000-0004-0000-1200-000007000000}"/>
    <hyperlink ref="C8" r:id="rId9" xr:uid="{00000000-0004-0000-1200-000008000000}"/>
    <hyperlink ref="D8" r:id="rId10" xr:uid="{00000000-0004-0000-1200-000009000000}"/>
    <hyperlink ref="C9" r:id="rId11" xr:uid="{00000000-0004-0000-1200-00000A000000}"/>
    <hyperlink ref="D9" r:id="rId12" xr:uid="{00000000-0004-0000-1200-00000B000000}"/>
    <hyperlink ref="C10" r:id="rId13" xr:uid="{00000000-0004-0000-1200-00000C000000}"/>
    <hyperlink ref="D10" r:id="rId14" xr:uid="{00000000-0004-0000-1200-00000D000000}"/>
    <hyperlink ref="C11" r:id="rId15" xr:uid="{00000000-0004-0000-1200-00000E000000}"/>
    <hyperlink ref="D11" r:id="rId16" xr:uid="{00000000-0004-0000-1200-00000F000000}"/>
    <hyperlink ref="C12" r:id="rId17" xr:uid="{00000000-0004-0000-1200-000010000000}"/>
    <hyperlink ref="D12" r:id="rId18" xr:uid="{00000000-0004-0000-1200-000011000000}"/>
    <hyperlink ref="C13" r:id="rId19" xr:uid="{00000000-0004-0000-1200-000012000000}"/>
    <hyperlink ref="D13" r:id="rId20" xr:uid="{00000000-0004-0000-1200-000013000000}"/>
    <hyperlink ref="C14" r:id="rId21" xr:uid="{00000000-0004-0000-1200-000014000000}"/>
    <hyperlink ref="C15" r:id="rId22" xr:uid="{00000000-0004-0000-1200-000015000000}"/>
    <hyperlink ref="D15" r:id="rId23" xr:uid="{00000000-0004-0000-1200-000016000000}"/>
    <hyperlink ref="C16" r:id="rId24" xr:uid="{00000000-0004-0000-1200-000017000000}"/>
    <hyperlink ref="D16" r:id="rId25" xr:uid="{00000000-0004-0000-1200-000018000000}"/>
    <hyperlink ref="C17" r:id="rId26" xr:uid="{00000000-0004-0000-1200-000019000000}"/>
    <hyperlink ref="D17" r:id="rId27" xr:uid="{00000000-0004-0000-1200-00001A000000}"/>
    <hyperlink ref="D18" r:id="rId28" xr:uid="{00000000-0004-0000-1200-00001B000000}"/>
    <hyperlink ref="C19" r:id="rId29" xr:uid="{00000000-0004-0000-1200-00001C000000}"/>
    <hyperlink ref="D19" r:id="rId30" xr:uid="{00000000-0004-0000-1200-00001D000000}"/>
    <hyperlink ref="C20" r:id="rId31" xr:uid="{00000000-0004-0000-1200-00001E000000}"/>
    <hyperlink ref="D20" r:id="rId32" xr:uid="{00000000-0004-0000-1200-00001F000000}"/>
    <hyperlink ref="C21" r:id="rId33" xr:uid="{00000000-0004-0000-1200-000020000000}"/>
    <hyperlink ref="D21" r:id="rId34" xr:uid="{00000000-0004-0000-1200-000021000000}"/>
    <hyperlink ref="C22" r:id="rId35" xr:uid="{00000000-0004-0000-1200-000022000000}"/>
    <hyperlink ref="D22" r:id="rId36" xr:uid="{00000000-0004-0000-1200-000023000000}"/>
    <hyperlink ref="C23" r:id="rId37" xr:uid="{00000000-0004-0000-1200-000024000000}"/>
    <hyperlink ref="D23" r:id="rId38" xr:uid="{00000000-0004-0000-1200-000025000000}"/>
    <hyperlink ref="C24" r:id="rId39" xr:uid="{00000000-0004-0000-1200-000026000000}"/>
    <hyperlink ref="D24" r:id="rId40" xr:uid="{00000000-0004-0000-1200-000027000000}"/>
    <hyperlink ref="C25" r:id="rId41" xr:uid="{00000000-0004-0000-1200-000028000000}"/>
    <hyperlink ref="D25" r:id="rId42" xr:uid="{00000000-0004-0000-1200-000029000000}"/>
    <hyperlink ref="C26" r:id="rId43" xr:uid="{00000000-0004-0000-1200-00002A000000}"/>
    <hyperlink ref="D26" r:id="rId44" xr:uid="{00000000-0004-0000-1200-00002B000000}"/>
    <hyperlink ref="C27" r:id="rId45" xr:uid="{00000000-0004-0000-1200-00002C000000}"/>
    <hyperlink ref="D27" r:id="rId46" xr:uid="{00000000-0004-0000-1200-00002D000000}"/>
    <hyperlink ref="C28" r:id="rId47" xr:uid="{00000000-0004-0000-1200-00002E000000}"/>
    <hyperlink ref="D28" r:id="rId48" xr:uid="{00000000-0004-0000-1200-00002F000000}"/>
    <hyperlink ref="C29" r:id="rId49" xr:uid="{00000000-0004-0000-1200-000030000000}"/>
    <hyperlink ref="D29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270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34</v>
      </c>
      <c r="C11" s="22" t="s">
        <v>2</v>
      </c>
      <c r="D11" s="22" t="s">
        <v>3</v>
      </c>
      <c r="E11" s="15" t="s">
        <v>36</v>
      </c>
      <c r="F11" s="42">
        <f>VLOOKUP(B11,'Song Tracker'!$A$3:$F$48,6,FALSE)</f>
        <v>3.9583333333333337E-3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97</v>
      </c>
      <c r="C14" s="22" t="s">
        <v>2</v>
      </c>
      <c r="D14" s="22" t="s">
        <v>3</v>
      </c>
      <c r="E14" s="15" t="s">
        <v>31</v>
      </c>
      <c r="F14" s="42">
        <v>3.2291666666666666E-3</v>
      </c>
    </row>
    <row r="15" spans="1:6" ht="22" customHeight="1">
      <c r="A15" s="24">
        <v>1</v>
      </c>
      <c r="B15" s="15" t="s">
        <v>110</v>
      </c>
      <c r="C15" s="22" t="s">
        <v>2</v>
      </c>
      <c r="D15" s="22" t="s">
        <v>3</v>
      </c>
      <c r="E15" s="15" t="s">
        <v>112</v>
      </c>
      <c r="F15" s="42">
        <f>VLOOKUP(B15,'Song Tracker'!$A$3:$F$48,6,FALSE)</f>
        <v>3.472222222222222E-3</v>
      </c>
    </row>
    <row r="16" spans="1:6" ht="22" customHeight="1">
      <c r="A16" s="24">
        <v>2</v>
      </c>
      <c r="B16" s="15" t="s">
        <v>80</v>
      </c>
      <c r="C16" s="23"/>
      <c r="D16" s="22" t="s">
        <v>3</v>
      </c>
      <c r="E16" s="15" t="s">
        <v>39</v>
      </c>
      <c r="F16" s="42">
        <f>VLOOKUP(B16,'Song Tracker'!$A$3:$F$48,6,FALSE)</f>
        <v>2.6041666666666665E-3</v>
      </c>
    </row>
    <row r="17" spans="1:6" ht="22" customHeight="1">
      <c r="A17" s="24">
        <v>3</v>
      </c>
      <c r="B17" s="15" t="s">
        <v>101</v>
      </c>
      <c r="C17" s="22" t="s">
        <v>2</v>
      </c>
      <c r="D17" s="22" t="s">
        <v>3</v>
      </c>
      <c r="E17" s="15" t="s">
        <v>31</v>
      </c>
      <c r="F17" s="42">
        <v>4.1319444444444442E-3</v>
      </c>
    </row>
    <row r="18" spans="1:6" ht="22" customHeight="1">
      <c r="A18" s="24">
        <v>4</v>
      </c>
      <c r="B18" s="15" t="s">
        <v>104</v>
      </c>
      <c r="C18" s="22" t="s">
        <v>2</v>
      </c>
      <c r="D18" s="22" t="s">
        <v>3</v>
      </c>
      <c r="E18" s="15" t="s">
        <v>36</v>
      </c>
      <c r="F18" s="42">
        <f>VLOOKUP(B18,'Song Tracker'!$A$3:$F$48,6,FALSE)</f>
        <v>2.4305555555555556E-3</v>
      </c>
    </row>
    <row r="19" spans="1:6" ht="22" customHeight="1">
      <c r="A19" s="24">
        <v>5</v>
      </c>
      <c r="B19" s="15" t="s">
        <v>46</v>
      </c>
      <c r="C19" s="22" t="s">
        <v>2</v>
      </c>
      <c r="D19" s="22" t="s">
        <v>3</v>
      </c>
      <c r="E19" s="15" t="s">
        <v>48</v>
      </c>
      <c r="F19" s="42">
        <v>1.7476851851851852E-3</v>
      </c>
    </row>
    <row r="20" spans="1:6" ht="22" customHeight="1">
      <c r="A20" s="24">
        <v>6</v>
      </c>
      <c r="B20" s="15" t="s">
        <v>92</v>
      </c>
      <c r="C20" s="22" t="s">
        <v>2</v>
      </c>
      <c r="D20" s="22" t="s">
        <v>3</v>
      </c>
      <c r="E20" s="15" t="s">
        <v>36</v>
      </c>
      <c r="F20" s="42">
        <v>2.0486111111111113E-3</v>
      </c>
    </row>
    <row r="21" spans="1:6" ht="22" customHeight="1">
      <c r="A21" s="24">
        <v>7</v>
      </c>
      <c r="B21" s="15" t="s">
        <v>78</v>
      </c>
      <c r="C21" s="22" t="s">
        <v>2</v>
      </c>
      <c r="D21" s="22" t="s">
        <v>3</v>
      </c>
      <c r="E21" s="15" t="s">
        <v>39</v>
      </c>
      <c r="F21" s="42">
        <v>2.5810185185185185E-3</v>
      </c>
    </row>
    <row r="22" spans="1:6" ht="22" customHeight="1">
      <c r="A22" s="24">
        <v>8</v>
      </c>
      <c r="B22" s="15" t="s">
        <v>123</v>
      </c>
      <c r="C22" s="22" t="s">
        <v>2</v>
      </c>
      <c r="D22" s="22" t="s">
        <v>3</v>
      </c>
      <c r="E22" s="15" t="s">
        <v>36</v>
      </c>
      <c r="F22" s="42">
        <v>3.3217592592592595E-3</v>
      </c>
    </row>
    <row r="23" spans="1:6" ht="22" customHeight="1">
      <c r="A23" s="24">
        <v>9</v>
      </c>
      <c r="B23" s="15" t="s">
        <v>103</v>
      </c>
      <c r="C23" s="22" t="s">
        <v>2</v>
      </c>
      <c r="D23" s="22" t="s">
        <v>3</v>
      </c>
      <c r="E23" s="15" t="s">
        <v>31</v>
      </c>
      <c r="F23" s="42">
        <v>5.9606481481481481E-3</v>
      </c>
    </row>
    <row r="24" spans="1:6" ht="22" customHeight="1">
      <c r="A24" s="24">
        <v>10</v>
      </c>
      <c r="B24" s="15" t="s">
        <v>74</v>
      </c>
      <c r="C24" s="22" t="s">
        <v>2</v>
      </c>
      <c r="D24" s="22" t="s">
        <v>3</v>
      </c>
      <c r="E24" s="15" t="s">
        <v>39</v>
      </c>
      <c r="F24" s="42">
        <v>4.6874999999999998E-3</v>
      </c>
    </row>
    <row r="25" spans="1:6">
      <c r="A25" s="16"/>
      <c r="B25" s="14"/>
      <c r="C25" s="17"/>
      <c r="D25" s="17"/>
      <c r="E25" s="14"/>
      <c r="F25" s="43"/>
    </row>
    <row r="26" spans="1:6" ht="22" customHeight="1" thickBot="1">
      <c r="A26" s="18"/>
      <c r="B26" s="19" t="s">
        <v>243</v>
      </c>
      <c r="C26" s="20"/>
      <c r="D26" s="20"/>
      <c r="E26" s="19"/>
      <c r="F26" s="21">
        <f>SUM(F4:F25)</f>
        <v>6.7303240740740733E-2</v>
      </c>
    </row>
  </sheetData>
  <mergeCells count="2">
    <mergeCell ref="A1:F1"/>
    <mergeCell ref="A2:F2"/>
  </mergeCells>
  <hyperlinks>
    <hyperlink ref="C4" r:id="rId1" xr:uid="{00000000-0004-0000-1300-000000000000}"/>
    <hyperlink ref="D4" r:id="rId2" xr:uid="{00000000-0004-0000-1300-000001000000}"/>
    <hyperlink ref="C5" r:id="rId3" xr:uid="{00000000-0004-0000-1300-000002000000}"/>
    <hyperlink ref="D5" r:id="rId4" xr:uid="{00000000-0004-0000-1300-000003000000}"/>
    <hyperlink ref="C6" r:id="rId5" xr:uid="{00000000-0004-0000-1300-000004000000}"/>
    <hyperlink ref="D6" r:id="rId6" xr:uid="{00000000-0004-0000-1300-000005000000}"/>
    <hyperlink ref="C7" r:id="rId7" xr:uid="{00000000-0004-0000-1300-000006000000}"/>
    <hyperlink ref="D7" r:id="rId8" xr:uid="{00000000-0004-0000-1300-000007000000}"/>
    <hyperlink ref="C8" r:id="rId9" xr:uid="{00000000-0004-0000-1300-000008000000}"/>
    <hyperlink ref="D8" r:id="rId10" xr:uid="{00000000-0004-0000-1300-000009000000}"/>
    <hyperlink ref="C9" r:id="rId11" xr:uid="{00000000-0004-0000-1300-00000A000000}"/>
    <hyperlink ref="D9" r:id="rId12" xr:uid="{00000000-0004-0000-1300-00000B000000}"/>
    <hyperlink ref="C10" r:id="rId13" xr:uid="{00000000-0004-0000-1300-00000C000000}"/>
    <hyperlink ref="D10" r:id="rId14" xr:uid="{00000000-0004-0000-1300-00000D000000}"/>
    <hyperlink ref="C11" r:id="rId15" xr:uid="{00000000-0004-0000-1300-00000E000000}"/>
    <hyperlink ref="D11" r:id="rId16" xr:uid="{00000000-0004-0000-1300-00000F000000}"/>
    <hyperlink ref="C12" r:id="rId17" xr:uid="{00000000-0004-0000-1300-000010000000}"/>
    <hyperlink ref="D12" r:id="rId18" xr:uid="{00000000-0004-0000-1300-000011000000}"/>
    <hyperlink ref="C13" r:id="rId19" xr:uid="{00000000-0004-0000-1300-000012000000}"/>
    <hyperlink ref="C14" r:id="rId20" xr:uid="{00000000-0004-0000-1300-000013000000}"/>
    <hyperlink ref="D14" r:id="rId21" xr:uid="{00000000-0004-0000-1300-000014000000}"/>
    <hyperlink ref="C15" r:id="rId22" xr:uid="{00000000-0004-0000-1300-000015000000}"/>
    <hyperlink ref="D15" r:id="rId23" xr:uid="{00000000-0004-0000-1300-000016000000}"/>
    <hyperlink ref="D16" r:id="rId24" xr:uid="{00000000-0004-0000-1300-000017000000}"/>
    <hyperlink ref="C17" r:id="rId25" xr:uid="{00000000-0004-0000-1300-000018000000}"/>
    <hyperlink ref="D17" r:id="rId26" xr:uid="{00000000-0004-0000-1300-000019000000}"/>
    <hyperlink ref="C18" r:id="rId27" xr:uid="{00000000-0004-0000-1300-00001A000000}"/>
    <hyperlink ref="D18" r:id="rId28" xr:uid="{00000000-0004-0000-1300-00001B000000}"/>
    <hyperlink ref="C19" r:id="rId29" xr:uid="{00000000-0004-0000-1300-00001C000000}"/>
    <hyperlink ref="D19" r:id="rId30" xr:uid="{00000000-0004-0000-1300-00001D000000}"/>
    <hyperlink ref="C20" r:id="rId31" xr:uid="{00000000-0004-0000-1300-00001E000000}"/>
    <hyperlink ref="D20" r:id="rId32" xr:uid="{00000000-0004-0000-1300-00001F000000}"/>
    <hyperlink ref="C21" r:id="rId33" xr:uid="{00000000-0004-0000-1300-000020000000}"/>
    <hyperlink ref="D21" r:id="rId34" xr:uid="{00000000-0004-0000-1300-000021000000}"/>
    <hyperlink ref="C22" r:id="rId35" xr:uid="{00000000-0004-0000-1300-000022000000}"/>
    <hyperlink ref="D22" r:id="rId36" xr:uid="{00000000-0004-0000-1300-000023000000}"/>
    <hyperlink ref="C23" r:id="rId37" xr:uid="{00000000-0004-0000-1300-000024000000}"/>
    <hyperlink ref="D23" r:id="rId38" xr:uid="{00000000-0004-0000-1300-000025000000}"/>
    <hyperlink ref="C24" r:id="rId39" xr:uid="{00000000-0004-0000-1300-000026000000}"/>
    <hyperlink ref="D24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271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78</v>
      </c>
      <c r="C5" s="22" t="s">
        <v>2</v>
      </c>
      <c r="D5" s="22" t="s">
        <v>3</v>
      </c>
      <c r="E5" s="15" t="s">
        <v>39</v>
      </c>
      <c r="F5" s="42">
        <v>2.5810185185185185E-3</v>
      </c>
    </row>
    <row r="6" spans="1:6" ht="22" customHeight="1">
      <c r="A6" s="24">
        <v>3</v>
      </c>
      <c r="B6" s="15" t="s">
        <v>85</v>
      </c>
      <c r="C6" s="22" t="s">
        <v>2</v>
      </c>
      <c r="D6" s="22" t="s">
        <v>3</v>
      </c>
      <c r="E6" s="15" t="s">
        <v>48</v>
      </c>
      <c r="F6" s="42">
        <v>1.9791666666666668E-3</v>
      </c>
    </row>
    <row r="7" spans="1:6" ht="22" customHeight="1">
      <c r="A7" s="24">
        <v>4</v>
      </c>
      <c r="B7" s="15" t="s">
        <v>63</v>
      </c>
      <c r="C7" s="22" t="s">
        <v>2</v>
      </c>
      <c r="D7" s="22" t="s">
        <v>3</v>
      </c>
      <c r="E7" s="15" t="s">
        <v>31</v>
      </c>
      <c r="F7" s="42">
        <v>2.7893518518518519E-3</v>
      </c>
    </row>
    <row r="8" spans="1:6" ht="22" customHeight="1">
      <c r="A8" s="24">
        <v>5</v>
      </c>
      <c r="B8" s="15" t="s">
        <v>65</v>
      </c>
      <c r="C8" s="22" t="s">
        <v>2</v>
      </c>
      <c r="D8" s="22" t="s">
        <v>3</v>
      </c>
      <c r="E8" s="15" t="s">
        <v>36</v>
      </c>
      <c r="F8" s="42">
        <v>2.488425925925926E-3</v>
      </c>
    </row>
    <row r="9" spans="1:6" ht="22" customHeight="1">
      <c r="A9" s="24">
        <v>6</v>
      </c>
      <c r="B9" s="15" t="s">
        <v>94</v>
      </c>
      <c r="C9" s="22" t="s">
        <v>2</v>
      </c>
      <c r="D9" s="22" t="s">
        <v>3</v>
      </c>
      <c r="E9" s="15" t="s">
        <v>39</v>
      </c>
      <c r="F9" s="42">
        <v>3.5995370370370369E-3</v>
      </c>
    </row>
    <row r="10" spans="1:6" ht="22" customHeight="1">
      <c r="A10" s="24">
        <v>7</v>
      </c>
      <c r="B10" s="15" t="s">
        <v>92</v>
      </c>
      <c r="C10" s="22" t="s">
        <v>2</v>
      </c>
      <c r="D10" s="22" t="s">
        <v>3</v>
      </c>
      <c r="E10" s="15" t="s">
        <v>36</v>
      </c>
      <c r="F10" s="42">
        <v>2.0486111111111113E-3</v>
      </c>
    </row>
    <row r="11" spans="1:6" ht="22" customHeight="1">
      <c r="A11" s="24">
        <v>8</v>
      </c>
      <c r="B11" s="15" t="s">
        <v>97</v>
      </c>
      <c r="C11" s="22" t="s">
        <v>2</v>
      </c>
      <c r="D11" s="22" t="s">
        <v>3</v>
      </c>
      <c r="E11" s="15" t="s">
        <v>31</v>
      </c>
      <c r="F11" s="42">
        <v>3.2291666666666666E-3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123</v>
      </c>
      <c r="C13" s="22" t="s">
        <v>2</v>
      </c>
      <c r="D13" s="22" t="s">
        <v>3</v>
      </c>
      <c r="E13" s="15" t="s">
        <v>36</v>
      </c>
      <c r="F13" s="42">
        <v>3.3217592592592595E-3</v>
      </c>
    </row>
    <row r="14" spans="1:6" ht="22" customHeight="1">
      <c r="A14" s="24">
        <v>11</v>
      </c>
      <c r="B14" s="15" t="s">
        <v>74</v>
      </c>
      <c r="C14" s="22" t="s">
        <v>2</v>
      </c>
      <c r="D14" s="22" t="s">
        <v>3</v>
      </c>
      <c r="E14" s="15" t="s">
        <v>39</v>
      </c>
      <c r="F14" s="42">
        <v>4.6874999999999998E-3</v>
      </c>
    </row>
    <row r="15" spans="1:6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3.4467592592592591E-2</v>
      </c>
    </row>
  </sheetData>
  <mergeCells count="2">
    <mergeCell ref="A1:F1"/>
    <mergeCell ref="A2:F2"/>
  </mergeCells>
  <hyperlinks>
    <hyperlink ref="C4" r:id="rId1" xr:uid="{00000000-0004-0000-1400-000000000000}"/>
    <hyperlink ref="D4" r:id="rId2" xr:uid="{00000000-0004-0000-1400-000001000000}"/>
    <hyperlink ref="C5" r:id="rId3" xr:uid="{00000000-0004-0000-1400-000002000000}"/>
    <hyperlink ref="D5" r:id="rId4" xr:uid="{00000000-0004-0000-1400-000003000000}"/>
    <hyperlink ref="C6" r:id="rId5" xr:uid="{00000000-0004-0000-1400-000004000000}"/>
    <hyperlink ref="D6" r:id="rId6" xr:uid="{00000000-0004-0000-1400-000005000000}"/>
    <hyperlink ref="C7" r:id="rId7" xr:uid="{00000000-0004-0000-1400-000006000000}"/>
    <hyperlink ref="D7" r:id="rId8" xr:uid="{00000000-0004-0000-1400-000007000000}"/>
    <hyperlink ref="C8" r:id="rId9" xr:uid="{00000000-0004-0000-1400-000008000000}"/>
    <hyperlink ref="D8" r:id="rId10" xr:uid="{00000000-0004-0000-1400-000009000000}"/>
    <hyperlink ref="C9" r:id="rId11" xr:uid="{00000000-0004-0000-1400-00000A000000}"/>
    <hyperlink ref="D9" r:id="rId12" xr:uid="{00000000-0004-0000-1400-00000B000000}"/>
    <hyperlink ref="C10" r:id="rId13" xr:uid="{00000000-0004-0000-1400-00000C000000}"/>
    <hyperlink ref="D10" r:id="rId14" xr:uid="{00000000-0004-0000-1400-00000D000000}"/>
    <hyperlink ref="C11" r:id="rId15" xr:uid="{00000000-0004-0000-1400-00000E000000}"/>
    <hyperlink ref="D11" r:id="rId16" xr:uid="{00000000-0004-0000-1400-00000F000000}"/>
    <hyperlink ref="C12" r:id="rId17" xr:uid="{00000000-0004-0000-1400-000010000000}"/>
    <hyperlink ref="D12" r:id="rId18" xr:uid="{00000000-0004-0000-1400-000011000000}"/>
    <hyperlink ref="C13" r:id="rId19" xr:uid="{00000000-0004-0000-1400-000012000000}"/>
    <hyperlink ref="D13" r:id="rId20" xr:uid="{00000000-0004-0000-1400-000013000000}"/>
    <hyperlink ref="C14" r:id="rId21" xr:uid="{00000000-0004-0000-1400-000014000000}"/>
    <hyperlink ref="D14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1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272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94</v>
      </c>
      <c r="C6" s="22" t="s">
        <v>2</v>
      </c>
      <c r="D6" s="22" t="s">
        <v>3</v>
      </c>
      <c r="E6" s="15" t="s">
        <v>39</v>
      </c>
      <c r="F6" s="42">
        <v>3.5995370370370369E-3</v>
      </c>
    </row>
    <row r="7" spans="1:6" ht="22" customHeight="1">
      <c r="A7" s="24">
        <v>4</v>
      </c>
      <c r="B7" s="15" t="s">
        <v>65</v>
      </c>
      <c r="C7" s="22" t="s">
        <v>2</v>
      </c>
      <c r="D7" s="22" t="s">
        <v>3</v>
      </c>
      <c r="E7" s="15" t="s">
        <v>36</v>
      </c>
      <c r="F7" s="42">
        <v>2.488425925925926E-3</v>
      </c>
    </row>
    <row r="8" spans="1:6" ht="22" customHeight="1">
      <c r="A8" s="24">
        <v>5</v>
      </c>
      <c r="B8" s="15" t="s">
        <v>85</v>
      </c>
      <c r="C8" s="22" t="s">
        <v>2</v>
      </c>
      <c r="D8" s="22" t="s">
        <v>3</v>
      </c>
      <c r="E8" s="15" t="s">
        <v>48</v>
      </c>
      <c r="F8" s="42">
        <v>1.9791666666666668E-3</v>
      </c>
    </row>
    <row r="9" spans="1:6" ht="22" customHeight="1">
      <c r="A9" s="24">
        <v>6</v>
      </c>
      <c r="B9" s="15" t="s">
        <v>63</v>
      </c>
      <c r="C9" s="22" t="s">
        <v>2</v>
      </c>
      <c r="D9" s="22" t="s">
        <v>3</v>
      </c>
      <c r="E9" s="15" t="s">
        <v>31</v>
      </c>
      <c r="F9" s="42">
        <v>2.7893518518518519E-3</v>
      </c>
    </row>
    <row r="10" spans="1:6" ht="22" customHeight="1">
      <c r="A10" s="24">
        <v>7</v>
      </c>
      <c r="B10" s="15" t="s">
        <v>245</v>
      </c>
      <c r="C10" s="22" t="s">
        <v>2</v>
      </c>
      <c r="D10" s="22" t="s">
        <v>3</v>
      </c>
      <c r="E10" s="15" t="s">
        <v>39</v>
      </c>
      <c r="F10" s="42">
        <v>2.5810185185185185E-3</v>
      </c>
    </row>
    <row r="11" spans="1:6" ht="22" customHeight="1">
      <c r="A11" s="24">
        <v>8</v>
      </c>
      <c r="B11" s="15" t="s">
        <v>92</v>
      </c>
      <c r="C11" s="22" t="s">
        <v>2</v>
      </c>
      <c r="D11" s="22" t="s">
        <v>3</v>
      </c>
      <c r="E11" s="15" t="s">
        <v>36</v>
      </c>
      <c r="F11" s="42">
        <v>2.0486111111111113E-3</v>
      </c>
    </row>
    <row r="12" spans="1:6" ht="22" customHeight="1">
      <c r="A12" s="24">
        <v>9</v>
      </c>
      <c r="B12" s="15" t="s">
        <v>52</v>
      </c>
      <c r="C12" s="22" t="s">
        <v>2</v>
      </c>
      <c r="D12" s="22" t="s">
        <v>3</v>
      </c>
      <c r="E12" s="15" t="s">
        <v>31</v>
      </c>
      <c r="F12" s="42">
        <f>VLOOKUP(B12,'Song Tracker'!$A$3:$F$48,6,FALSE)</f>
        <v>5.5555555555555558E-3</v>
      </c>
    </row>
    <row r="13" spans="1:6" ht="22" customHeight="1">
      <c r="A13" s="24">
        <v>10</v>
      </c>
      <c r="B13" s="15" t="s">
        <v>82</v>
      </c>
      <c r="C13" s="22" t="s">
        <v>2</v>
      </c>
      <c r="D13" s="23"/>
      <c r="E13" s="15" t="s">
        <v>36</v>
      </c>
      <c r="F13" s="42">
        <v>3.8541666666666663E-3</v>
      </c>
    </row>
    <row r="14" spans="1:6" ht="22" customHeight="1">
      <c r="A14" s="24">
        <v>11</v>
      </c>
      <c r="B14" s="15" t="s">
        <v>46</v>
      </c>
      <c r="C14" s="22" t="s">
        <v>2</v>
      </c>
      <c r="D14" s="22" t="s">
        <v>3</v>
      </c>
      <c r="E14" s="15" t="s">
        <v>48</v>
      </c>
      <c r="F14" s="42">
        <v>1.7476851851851852E-3</v>
      </c>
    </row>
    <row r="15" spans="1:6" ht="22" customHeight="1">
      <c r="A15" s="24">
        <v>12</v>
      </c>
      <c r="B15" s="15" t="s">
        <v>101</v>
      </c>
      <c r="C15" s="22" t="s">
        <v>2</v>
      </c>
      <c r="D15" s="22" t="s">
        <v>3</v>
      </c>
      <c r="E15" s="15" t="s">
        <v>31</v>
      </c>
      <c r="F15" s="42">
        <v>4.1319444444444442E-3</v>
      </c>
    </row>
    <row r="16" spans="1:6" ht="22" customHeight="1">
      <c r="A16" s="24">
        <v>13</v>
      </c>
      <c r="B16" s="15" t="s">
        <v>78</v>
      </c>
      <c r="C16" s="22" t="s">
        <v>2</v>
      </c>
      <c r="D16" s="22" t="s">
        <v>3</v>
      </c>
      <c r="E16" s="15" t="s">
        <v>39</v>
      </c>
      <c r="F16" s="42">
        <v>2.5810185185185185E-3</v>
      </c>
    </row>
    <row r="17" spans="1:6" ht="22" customHeight="1">
      <c r="A17" s="24">
        <v>14</v>
      </c>
      <c r="B17" s="15" t="s">
        <v>123</v>
      </c>
      <c r="C17" s="22" t="s">
        <v>2</v>
      </c>
      <c r="D17" s="22" t="s">
        <v>3</v>
      </c>
      <c r="E17" s="15" t="s">
        <v>36</v>
      </c>
      <c r="F17" s="42">
        <v>3.3217592592592595E-3</v>
      </c>
    </row>
    <row r="18" spans="1:6" ht="22" customHeight="1">
      <c r="A18" s="24">
        <v>15</v>
      </c>
      <c r="B18" s="15" t="s">
        <v>97</v>
      </c>
      <c r="C18" s="22" t="s">
        <v>2</v>
      </c>
      <c r="D18" s="22" t="s">
        <v>3</v>
      </c>
      <c r="E18" s="15" t="s">
        <v>31</v>
      </c>
      <c r="F18" s="42">
        <v>3.2291666666666666E-3</v>
      </c>
    </row>
    <row r="19" spans="1:6" ht="22" customHeight="1">
      <c r="A19" s="24">
        <v>16</v>
      </c>
      <c r="B19" s="15" t="s">
        <v>103</v>
      </c>
      <c r="C19" s="22" t="s">
        <v>2</v>
      </c>
      <c r="D19" s="22" t="s">
        <v>3</v>
      </c>
      <c r="E19" s="15" t="s">
        <v>31</v>
      </c>
      <c r="F19" s="42">
        <v>5.9606481481481481E-3</v>
      </c>
    </row>
    <row r="20" spans="1:6">
      <c r="A20" s="16"/>
      <c r="B20" s="14"/>
      <c r="C20" s="17"/>
      <c r="D20" s="17"/>
      <c r="E20" s="14"/>
      <c r="F20" s="43"/>
    </row>
    <row r="21" spans="1:6" ht="22" customHeight="1" thickBot="1">
      <c r="A21" s="18"/>
      <c r="B21" s="19" t="s">
        <v>243</v>
      </c>
      <c r="C21" s="20"/>
      <c r="D21" s="20"/>
      <c r="E21" s="19"/>
      <c r="F21" s="21">
        <f>SUM(F4:F20)</f>
        <v>5.0150462962962959E-2</v>
      </c>
    </row>
  </sheetData>
  <mergeCells count="2">
    <mergeCell ref="A1:F1"/>
    <mergeCell ref="A2:F2"/>
  </mergeCells>
  <hyperlinks>
    <hyperlink ref="C4" r:id="rId1" xr:uid="{00000000-0004-0000-1500-000000000000}"/>
    <hyperlink ref="D4" r:id="rId2" xr:uid="{00000000-0004-0000-1500-000001000000}"/>
    <hyperlink ref="C5" r:id="rId3" xr:uid="{00000000-0004-0000-1500-000002000000}"/>
    <hyperlink ref="D5" r:id="rId4" xr:uid="{00000000-0004-0000-1500-000003000000}"/>
    <hyperlink ref="C6" r:id="rId5" xr:uid="{00000000-0004-0000-1500-000004000000}"/>
    <hyperlink ref="D6" r:id="rId6" xr:uid="{00000000-0004-0000-1500-000005000000}"/>
    <hyperlink ref="C7" r:id="rId7" xr:uid="{00000000-0004-0000-1500-000006000000}"/>
    <hyperlink ref="D7" r:id="rId8" xr:uid="{00000000-0004-0000-1500-000007000000}"/>
    <hyperlink ref="C8" r:id="rId9" xr:uid="{00000000-0004-0000-1500-000008000000}"/>
    <hyperlink ref="D8" r:id="rId10" xr:uid="{00000000-0004-0000-1500-000009000000}"/>
    <hyperlink ref="C9" r:id="rId11" xr:uid="{00000000-0004-0000-1500-00000A000000}"/>
    <hyperlink ref="D9" r:id="rId12" xr:uid="{00000000-0004-0000-1500-00000B000000}"/>
    <hyperlink ref="C10" r:id="rId13" xr:uid="{00000000-0004-0000-1500-00000C000000}"/>
    <hyperlink ref="D10" r:id="rId14" xr:uid="{00000000-0004-0000-1500-00000D000000}"/>
    <hyperlink ref="C11" r:id="rId15" xr:uid="{00000000-0004-0000-1500-00000E000000}"/>
    <hyperlink ref="D11" r:id="rId16" xr:uid="{00000000-0004-0000-1500-00000F000000}"/>
    <hyperlink ref="C12" r:id="rId17" xr:uid="{00000000-0004-0000-1500-000010000000}"/>
    <hyperlink ref="D12" r:id="rId18" xr:uid="{00000000-0004-0000-1500-000011000000}"/>
    <hyperlink ref="C13" r:id="rId19" xr:uid="{00000000-0004-0000-1500-000012000000}"/>
    <hyperlink ref="C14" r:id="rId20" xr:uid="{00000000-0004-0000-1500-000013000000}"/>
    <hyperlink ref="D14" r:id="rId21" xr:uid="{00000000-0004-0000-1500-000014000000}"/>
    <hyperlink ref="C15" r:id="rId22" xr:uid="{00000000-0004-0000-1500-000015000000}"/>
    <hyperlink ref="D15" r:id="rId23" xr:uid="{00000000-0004-0000-1500-000016000000}"/>
    <hyperlink ref="C16" r:id="rId24" xr:uid="{00000000-0004-0000-1500-000017000000}"/>
    <hyperlink ref="D16" r:id="rId25" xr:uid="{00000000-0004-0000-1500-000018000000}"/>
    <hyperlink ref="C17" r:id="rId26" xr:uid="{00000000-0004-0000-1500-000019000000}"/>
    <hyperlink ref="D17" r:id="rId27" xr:uid="{00000000-0004-0000-1500-00001A000000}"/>
    <hyperlink ref="C18" r:id="rId28" xr:uid="{00000000-0004-0000-1500-00001B000000}"/>
    <hyperlink ref="D18" r:id="rId29" xr:uid="{00000000-0004-0000-1500-00001C000000}"/>
    <hyperlink ref="C19" r:id="rId30" xr:uid="{00000000-0004-0000-1500-00001D000000}"/>
    <hyperlink ref="D19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6"/>
  <sheetViews>
    <sheetView workbookViewId="0">
      <pane ySplit="3" topLeftCell="A4" activePane="bottomLeft" state="frozen"/>
      <selection pane="bottomLeft" activeCell="M3" sqref="M3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273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127</v>
      </c>
      <c r="C5" s="22" t="s">
        <v>2</v>
      </c>
      <c r="D5" s="22" t="s">
        <v>3</v>
      </c>
      <c r="E5" s="15" t="s">
        <v>31</v>
      </c>
      <c r="F5" s="42">
        <v>2.0949074074074073E-3</v>
      </c>
    </row>
    <row r="6" spans="1:6" ht="22" customHeight="1">
      <c r="A6" s="24">
        <v>3</v>
      </c>
      <c r="B6" s="15" t="s">
        <v>78</v>
      </c>
      <c r="C6" s="22" t="s">
        <v>2</v>
      </c>
      <c r="D6" s="22" t="s">
        <v>3</v>
      </c>
      <c r="E6" s="15" t="s">
        <v>39</v>
      </c>
      <c r="F6" s="42">
        <v>2.5810185185185185E-3</v>
      </c>
    </row>
    <row r="7" spans="1:6" ht="22" customHeight="1">
      <c r="A7" s="24">
        <v>4</v>
      </c>
      <c r="B7" s="15" t="s">
        <v>123</v>
      </c>
      <c r="C7" s="22" t="s">
        <v>2</v>
      </c>
      <c r="D7" s="22" t="s">
        <v>3</v>
      </c>
      <c r="E7" s="15" t="s">
        <v>36</v>
      </c>
      <c r="F7" s="42">
        <v>3.3217592592592595E-3</v>
      </c>
    </row>
    <row r="8" spans="1:6" ht="22" customHeight="1">
      <c r="A8" s="24">
        <v>5</v>
      </c>
      <c r="B8" s="15" t="s">
        <v>52</v>
      </c>
      <c r="C8" s="22" t="s">
        <v>2</v>
      </c>
      <c r="D8" s="22" t="s">
        <v>3</v>
      </c>
      <c r="E8" s="15" t="s">
        <v>31</v>
      </c>
      <c r="F8" s="42">
        <f>VLOOKUP(B8,'Song Tracker'!$A$3:$F$48,6,FALSE)</f>
        <v>5.5555555555555558E-3</v>
      </c>
    </row>
    <row r="9" spans="1:6" ht="22" customHeight="1">
      <c r="A9" s="24">
        <v>6</v>
      </c>
      <c r="B9" s="15" t="s">
        <v>104</v>
      </c>
      <c r="C9" s="22" t="s">
        <v>2</v>
      </c>
      <c r="D9" s="22" t="s">
        <v>3</v>
      </c>
      <c r="E9" s="15" t="s">
        <v>36</v>
      </c>
      <c r="F9" s="42">
        <f>VLOOKUP(B9,'Song Tracker'!$A$3:$F$48,6,FALSE)</f>
        <v>2.4305555555555556E-3</v>
      </c>
    </row>
    <row r="10" spans="1:6" ht="22" customHeight="1">
      <c r="A10" s="24">
        <v>7</v>
      </c>
      <c r="B10" s="15" t="s">
        <v>101</v>
      </c>
      <c r="C10" s="22" t="s">
        <v>2</v>
      </c>
      <c r="D10" s="22" t="s">
        <v>3</v>
      </c>
      <c r="E10" s="15" t="s">
        <v>31</v>
      </c>
      <c r="F10" s="42">
        <v>4.1319444444444442E-3</v>
      </c>
    </row>
    <row r="11" spans="1:6" ht="22" customHeight="1">
      <c r="A11" s="24">
        <v>8</v>
      </c>
      <c r="B11" s="15" t="s">
        <v>74</v>
      </c>
      <c r="C11" s="22" t="s">
        <v>2</v>
      </c>
      <c r="D11" s="22" t="s">
        <v>3</v>
      </c>
      <c r="E11" s="15" t="s">
        <v>39</v>
      </c>
      <c r="F11" s="42">
        <v>4.6874999999999998E-3</v>
      </c>
    </row>
    <row r="12" spans="1:6" ht="22" customHeight="1">
      <c r="A12" s="24">
        <v>9</v>
      </c>
      <c r="B12" s="15" t="s">
        <v>63</v>
      </c>
      <c r="C12" s="22" t="s">
        <v>2</v>
      </c>
      <c r="D12" s="22" t="s">
        <v>3</v>
      </c>
      <c r="E12" s="15" t="s">
        <v>31</v>
      </c>
      <c r="F12" s="42">
        <v>2.7893518518518519E-3</v>
      </c>
    </row>
    <row r="13" spans="1:6" ht="22" customHeight="1">
      <c r="A13" s="24">
        <v>10</v>
      </c>
      <c r="B13" s="15" t="s">
        <v>92</v>
      </c>
      <c r="C13" s="22" t="s">
        <v>2</v>
      </c>
      <c r="D13" s="22" t="s">
        <v>3</v>
      </c>
      <c r="E13" s="15" t="s">
        <v>36</v>
      </c>
      <c r="F13" s="42">
        <v>2.0486111111111113E-3</v>
      </c>
    </row>
    <row r="14" spans="1:6" ht="22" customHeight="1">
      <c r="A14" s="24">
        <v>11</v>
      </c>
      <c r="B14" s="15" t="s">
        <v>103</v>
      </c>
      <c r="C14" s="22" t="s">
        <v>2</v>
      </c>
      <c r="D14" s="22" t="s">
        <v>3</v>
      </c>
      <c r="E14" s="15" t="s">
        <v>31</v>
      </c>
      <c r="F14" s="42">
        <v>5.9606481481481481E-3</v>
      </c>
    </row>
    <row r="15" spans="1:6" ht="22" customHeight="1">
      <c r="A15" s="16"/>
      <c r="B15" s="14"/>
      <c r="C15" s="17"/>
      <c r="D15" s="17"/>
      <c r="E15" s="14"/>
      <c r="F15" s="43"/>
    </row>
    <row r="16" spans="1:6" ht="22" customHeight="1" thickBot="1">
      <c r="A16" s="18"/>
      <c r="B16" s="19" t="s">
        <v>243</v>
      </c>
      <c r="C16" s="20"/>
      <c r="D16" s="20"/>
      <c r="E16" s="19"/>
      <c r="F16" s="21">
        <f>SUM(F4:F15)</f>
        <v>3.7789351851851852E-2</v>
      </c>
    </row>
  </sheetData>
  <mergeCells count="2">
    <mergeCell ref="A1:F1"/>
    <mergeCell ref="A2:F2"/>
  </mergeCells>
  <hyperlinks>
    <hyperlink ref="C4" r:id="rId1" xr:uid="{00000000-0004-0000-1600-000000000000}"/>
    <hyperlink ref="D4" r:id="rId2" xr:uid="{00000000-0004-0000-1600-000001000000}"/>
    <hyperlink ref="C5" r:id="rId3" xr:uid="{00000000-0004-0000-1600-000002000000}"/>
    <hyperlink ref="D5" r:id="rId4" xr:uid="{00000000-0004-0000-1600-000003000000}"/>
    <hyperlink ref="C6" r:id="rId5" xr:uid="{00000000-0004-0000-1600-000004000000}"/>
    <hyperlink ref="D6" r:id="rId6" xr:uid="{00000000-0004-0000-1600-000005000000}"/>
    <hyperlink ref="C7" r:id="rId7" xr:uid="{00000000-0004-0000-1600-000006000000}"/>
    <hyperlink ref="D7" r:id="rId8" xr:uid="{00000000-0004-0000-1600-000007000000}"/>
    <hyperlink ref="C8" r:id="rId9" xr:uid="{00000000-0004-0000-1600-000008000000}"/>
    <hyperlink ref="D8" r:id="rId10" xr:uid="{00000000-0004-0000-1600-000009000000}"/>
    <hyperlink ref="C9" r:id="rId11" xr:uid="{00000000-0004-0000-1600-00000A000000}"/>
    <hyperlink ref="D9" r:id="rId12" xr:uid="{00000000-0004-0000-1600-00000B000000}"/>
    <hyperlink ref="C10" r:id="rId13" xr:uid="{00000000-0004-0000-1600-00000C000000}"/>
    <hyperlink ref="D10" r:id="rId14" xr:uid="{00000000-0004-0000-1600-00000D000000}"/>
    <hyperlink ref="C11" r:id="rId15" xr:uid="{00000000-0004-0000-1600-00000E000000}"/>
    <hyperlink ref="D11" r:id="rId16" xr:uid="{00000000-0004-0000-1600-00000F000000}"/>
    <hyperlink ref="C12" r:id="rId17" xr:uid="{00000000-0004-0000-1600-000010000000}"/>
    <hyperlink ref="D12" r:id="rId18" xr:uid="{00000000-0004-0000-1600-000011000000}"/>
    <hyperlink ref="C13" r:id="rId19" xr:uid="{00000000-0004-0000-1600-000012000000}"/>
    <hyperlink ref="D13" r:id="rId20" xr:uid="{00000000-0004-0000-1600-000013000000}"/>
    <hyperlink ref="C14" r:id="rId21" xr:uid="{00000000-0004-0000-1600-000014000000}"/>
    <hyperlink ref="D14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5"/>
  <sheetViews>
    <sheetView workbookViewId="0">
      <pane ySplit="3" topLeftCell="A4" activePane="bottomLeft" state="frozen"/>
      <selection pane="bottomLeft" sqref="A1:F1"/>
    </sheetView>
  </sheetViews>
  <sheetFormatPr baseColWidth="10" defaultColWidth="8.83203125" defaultRowHeight="15"/>
  <cols>
    <col min="1" max="1" width="6.6640625" style="13" customWidth="1"/>
    <col min="2" max="2" width="30" customWidth="1"/>
    <col min="3" max="4" width="6.6640625" style="13" customWidth="1"/>
    <col min="5" max="5" width="16.6640625" customWidth="1"/>
    <col min="6" max="6" width="11.6640625" style="13" customWidth="1"/>
  </cols>
  <sheetData>
    <row r="1" spans="1:6" ht="50" thickBot="1">
      <c r="A1" s="174" t="s">
        <v>83</v>
      </c>
      <c r="B1" s="175"/>
      <c r="C1" s="175"/>
      <c r="D1" s="175"/>
      <c r="E1" s="175"/>
      <c r="F1" s="176"/>
    </row>
    <row r="2" spans="1:6" ht="28" customHeight="1" thickBot="1">
      <c r="A2" s="177" t="s">
        <v>274</v>
      </c>
      <c r="B2" s="178"/>
      <c r="C2" s="178"/>
      <c r="D2" s="178"/>
      <c r="E2" s="178"/>
      <c r="F2" s="179"/>
    </row>
    <row r="3" spans="1:6" ht="22" customHeight="1">
      <c r="A3" s="115" t="s">
        <v>241</v>
      </c>
      <c r="B3" s="116" t="s">
        <v>1</v>
      </c>
      <c r="C3" s="117" t="s">
        <v>2</v>
      </c>
      <c r="D3" s="117" t="s">
        <v>3</v>
      </c>
      <c r="E3" s="116" t="s">
        <v>242</v>
      </c>
      <c r="F3" s="118" t="s">
        <v>6</v>
      </c>
    </row>
    <row r="4" spans="1:6" ht="22" customHeight="1">
      <c r="A4" s="24">
        <v>1</v>
      </c>
      <c r="B4" s="15" t="s">
        <v>49</v>
      </c>
      <c r="C4" s="22" t="s">
        <v>2</v>
      </c>
      <c r="D4" s="22" t="s">
        <v>3</v>
      </c>
      <c r="E4" s="15" t="s">
        <v>31</v>
      </c>
      <c r="F4" s="42">
        <v>2.1874999999999998E-3</v>
      </c>
    </row>
    <row r="5" spans="1:6" ht="22" customHeight="1">
      <c r="A5" s="24">
        <v>2</v>
      </c>
      <c r="B5" s="15" t="s">
        <v>65</v>
      </c>
      <c r="C5" s="22" t="s">
        <v>2</v>
      </c>
      <c r="D5" s="22" t="s">
        <v>3</v>
      </c>
      <c r="E5" s="15" t="s">
        <v>36</v>
      </c>
      <c r="F5" s="42">
        <v>2.488425925925926E-3</v>
      </c>
    </row>
    <row r="6" spans="1:6" ht="22" customHeight="1">
      <c r="A6" s="24">
        <v>3</v>
      </c>
      <c r="B6" s="15" t="s">
        <v>96</v>
      </c>
      <c r="C6" s="22" t="s">
        <v>2</v>
      </c>
      <c r="D6" s="22" t="s">
        <v>3</v>
      </c>
      <c r="E6" s="15" t="s">
        <v>48</v>
      </c>
      <c r="F6" s="42">
        <f>VLOOKUP(B6,'Song Tracker'!$A$3:$F$48,6,FALSE)</f>
        <v>1.9675925925925924E-3</v>
      </c>
    </row>
    <row r="7" spans="1:6" ht="22" customHeight="1">
      <c r="A7" s="24">
        <v>4</v>
      </c>
      <c r="B7" s="15" t="s">
        <v>52</v>
      </c>
      <c r="C7" s="22" t="s">
        <v>2</v>
      </c>
      <c r="D7" s="22" t="s">
        <v>3</v>
      </c>
      <c r="E7" s="15" t="s">
        <v>31</v>
      </c>
      <c r="F7" s="42">
        <f>VLOOKUP(B7,'Song Tracker'!$A$3:$F$48,6,FALSE)</f>
        <v>5.5555555555555558E-3</v>
      </c>
    </row>
    <row r="8" spans="1:6" ht="22" customHeight="1">
      <c r="A8" s="24">
        <v>5</v>
      </c>
      <c r="B8" s="15" t="s">
        <v>46</v>
      </c>
      <c r="C8" s="22" t="s">
        <v>2</v>
      </c>
      <c r="D8" s="22" t="s">
        <v>3</v>
      </c>
      <c r="E8" s="15" t="s">
        <v>48</v>
      </c>
      <c r="F8" s="42">
        <v>1.7476851851851852E-3</v>
      </c>
    </row>
    <row r="9" spans="1:6" ht="22" customHeight="1">
      <c r="A9" s="24">
        <v>6</v>
      </c>
      <c r="B9" s="15" t="s">
        <v>123</v>
      </c>
      <c r="C9" s="22" t="s">
        <v>2</v>
      </c>
      <c r="D9" s="22" t="s">
        <v>3</v>
      </c>
      <c r="E9" s="15" t="s">
        <v>36</v>
      </c>
      <c r="F9" s="42">
        <v>3.3217592592592595E-3</v>
      </c>
    </row>
    <row r="10" spans="1:6" ht="22" customHeight="1">
      <c r="A10" s="24">
        <v>7</v>
      </c>
      <c r="B10" s="15" t="s">
        <v>61</v>
      </c>
      <c r="C10" s="23"/>
      <c r="D10" s="22" t="s">
        <v>3</v>
      </c>
      <c r="E10" s="15" t="s">
        <v>31</v>
      </c>
      <c r="F10" s="42">
        <f>VLOOKUP(B10,'Song Tracker'!$A$3:$F$48,6,FALSE)</f>
        <v>1.7708333333333332E-3</v>
      </c>
    </row>
    <row r="11" spans="1:6" ht="22" customHeight="1">
      <c r="A11" s="24">
        <v>8</v>
      </c>
      <c r="B11" s="15" t="s">
        <v>78</v>
      </c>
      <c r="C11" s="22" t="s">
        <v>2</v>
      </c>
      <c r="D11" s="22" t="s">
        <v>3</v>
      </c>
      <c r="E11" s="15" t="s">
        <v>39</v>
      </c>
      <c r="F11" s="42">
        <v>2.5810185185185185E-3</v>
      </c>
    </row>
    <row r="12" spans="1:6" ht="22" customHeight="1">
      <c r="A12" s="24">
        <v>9</v>
      </c>
      <c r="B12" s="15" t="s">
        <v>127</v>
      </c>
      <c r="C12" s="22" t="s">
        <v>2</v>
      </c>
      <c r="D12" s="22" t="s">
        <v>3</v>
      </c>
      <c r="E12" s="15" t="s">
        <v>31</v>
      </c>
      <c r="F12" s="42">
        <v>2.0949074074074073E-3</v>
      </c>
    </row>
    <row r="13" spans="1:6" ht="22" customHeight="1">
      <c r="A13" s="24">
        <v>10</v>
      </c>
      <c r="B13" s="15" t="s">
        <v>74</v>
      </c>
      <c r="C13" s="22" t="s">
        <v>2</v>
      </c>
      <c r="D13" s="22" t="s">
        <v>3</v>
      </c>
      <c r="E13" s="15" t="s">
        <v>39</v>
      </c>
      <c r="F13" s="42">
        <v>4.6874999999999998E-3</v>
      </c>
    </row>
    <row r="14" spans="1:6">
      <c r="A14" s="16"/>
      <c r="B14" s="14"/>
      <c r="C14" s="17"/>
      <c r="D14" s="17"/>
      <c r="E14" s="14"/>
      <c r="F14" s="43"/>
    </row>
    <row r="15" spans="1:6" ht="22" customHeight="1" thickBot="1">
      <c r="A15" s="18"/>
      <c r="B15" s="19" t="s">
        <v>243</v>
      </c>
      <c r="C15" s="20"/>
      <c r="D15" s="20"/>
      <c r="E15" s="19"/>
      <c r="F15" s="21">
        <f>SUM(F4:F14)</f>
        <v>2.8402777777777777E-2</v>
      </c>
    </row>
  </sheetData>
  <mergeCells count="2">
    <mergeCell ref="A1:F1"/>
    <mergeCell ref="A2:F2"/>
  </mergeCells>
  <hyperlinks>
    <hyperlink ref="C4" r:id="rId1" xr:uid="{00000000-0004-0000-1700-000000000000}"/>
    <hyperlink ref="D4" r:id="rId2" xr:uid="{00000000-0004-0000-1700-000001000000}"/>
    <hyperlink ref="C5" r:id="rId3" xr:uid="{00000000-0004-0000-1700-000002000000}"/>
    <hyperlink ref="D5" r:id="rId4" xr:uid="{00000000-0004-0000-1700-000003000000}"/>
    <hyperlink ref="C6" r:id="rId5" xr:uid="{00000000-0004-0000-1700-000004000000}"/>
    <hyperlink ref="D6" r:id="rId6" xr:uid="{00000000-0004-0000-1700-000005000000}"/>
    <hyperlink ref="C7" r:id="rId7" xr:uid="{00000000-0004-0000-1700-000006000000}"/>
    <hyperlink ref="D7" r:id="rId8" xr:uid="{00000000-0004-0000-1700-000007000000}"/>
    <hyperlink ref="C8" r:id="rId9" xr:uid="{00000000-0004-0000-1700-000008000000}"/>
    <hyperlink ref="D8" r:id="rId10" xr:uid="{00000000-0004-0000-1700-000009000000}"/>
    <hyperlink ref="C9" r:id="rId11" xr:uid="{00000000-0004-0000-1700-00000A000000}"/>
    <hyperlink ref="D9" r:id="rId12" xr:uid="{00000000-0004-0000-1700-00000B000000}"/>
    <hyperlink ref="D10" r:id="rId13" xr:uid="{00000000-0004-0000-1700-00000C000000}"/>
    <hyperlink ref="C11" r:id="rId14" xr:uid="{00000000-0004-0000-1700-00000D000000}"/>
    <hyperlink ref="D11" r:id="rId15" xr:uid="{00000000-0004-0000-1700-00000E000000}"/>
    <hyperlink ref="C12" r:id="rId16" xr:uid="{00000000-0004-0000-1700-00000F000000}"/>
    <hyperlink ref="D12" r:id="rId17" xr:uid="{00000000-0004-0000-1700-000010000000}"/>
    <hyperlink ref="C13" r:id="rId18" xr:uid="{00000000-0004-0000-1700-000011000000}"/>
    <hyperlink ref="D13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4</vt:i4>
      </vt:variant>
    </vt:vector>
  </HeadingPairs>
  <TitlesOfParts>
    <vt:vector size="28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  <vt:lpstr>'2026-06-24 Ridgeville Parks'!Print_Area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2026-06-20T21:19:15Z</dcterms:modified>
  <cp:category/>
  <cp:contentStatus/>
</cp:coreProperties>
</file>