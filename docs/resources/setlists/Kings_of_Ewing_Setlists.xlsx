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13_ncr:1_{14AB469F-44D0-C04C-B134-2B26CDF0C520}" xr6:coauthVersionLast="47" xr6:coauthVersionMax="47" xr10:uidLastSave="{00000000-0000-0000-0000-000000000000}"/>
  <bookViews>
    <workbookView xWindow="3820" yWindow="3660" windowWidth="29580" windowHeight="17160" firstSheet="1" activeTab="6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  <definedName name="_xlnm.Print_Area" localSheetId="6">'2026-06-21 Chicago Union'!$A$1:$F$18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7" l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F30" i="8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6"/>
  <c r="F35" i="12" l="1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<sst xmlns="http://schemas.openxmlformats.org/spreadsheetml/2006/main" count="2246" uniqueCount="276">
  <si>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</si>
  <si>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</si>
  <si>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</si>
  <si>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</si>
  <si>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</si>
  <si>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</si>
  <si>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</si>
  <si>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</si>
  <si>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</si>
  <si>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</si>
  <si>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</si>
  <si>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</si>
  <si>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</si>
  <si>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</si>
  <si>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</si>
  <si>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</si>
  <si>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</si>
  <si>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</si>
  <si>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</si>
  <si>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</si>
  <si>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</si>
  <si>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</si>
  <si>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</si>
  <si>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</si>
  <si>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</si>
  <si>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</si>
  <si>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</si>
  <si>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</si>
  <si>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</si>
  <si>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</si>
  <si>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</si>
  <si>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</si>
  <si>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</si>
  <si>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</si>
  <si>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</si>
  <si>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</si>
  <si>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</si>
  <si>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</si>
  <si>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</si>
  <si>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</si>
  <si>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</si>
  <si>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</si>
  <si>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</si>
  <si>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</si>
  <si>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</si>
  <si>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</si>
  <si>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</si>
  <si>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</si>
  <si>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</si>
  <si>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</si>
  <si>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</si>
  <si>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</si>
  <si>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</si>
  <si>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</si>
  <si>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</si>
  <si>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</si>
  <si>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</si>
  <si>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</si>
  <si>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</si>
  <si>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</si>
  <si>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</si>
  <si>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</si>
  <si>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</si>
  <si>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</si>
  <si>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</si>
  <si>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</si>
  <si>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</si>
  <si>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</si>
  <si>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</si>
  <si>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</si>
  <si>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</si>
  <si>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</si>
  <si>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</si>
  <si>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</si>
  <si>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</si>
  <si>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</si>
  <si>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</si>
  <si>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</si>
  <si>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</si>
  <si>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</si>
  <si>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</si>
  <si>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</si>
  <si>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</si>
  <si>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</si>
  <si>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</si>
  <si>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</si>
  <si>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</si>
  <si>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</si>
  <si>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</si>
  <si>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</si>
  <si>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</si>
  <si>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</si>
  <si>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</si>
  <si>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</si>
  <si>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</si>
  <si>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</si>
  <si>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</si>
  <si>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</si>
  <si>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</si>
  <si>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</si>
  <si>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</si>
  <si>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</si>
  <si>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</si>
  <si>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</si>
  <si>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</si>
  <si>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</si>
  <si>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</si>
  <si>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</si>
  <si>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</si>
  <si>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</si>
  <si>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</si>
  <si>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</si>
  <si>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</si>
  <si>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</si>
  <si>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</si>
  <si>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</si>
  <si>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</si>
  <si>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</si>
  <si>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</si>
  <si>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</si>
  <si>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</si>
  <si>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</si>
  <si>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</si>
  <si>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</si>
  <si>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</si>
  <si>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</si>
  <si>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</si>
  <si>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</si>
  <si>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</si>
  <si>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</si>
  <si>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</si>
  <si>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</si>
  <si>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</si>
  <si>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</si>
  <si>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</si>
  <si>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</si>
  <si>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</si>
  <si>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</si>
  <si>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</si>
  <si>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</si>
  <si>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</si>
  <si>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</si>
  <si>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</si>
  <si>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</si>
  <si>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</si>
  <si>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</si>
  <si>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</si>
  <si>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</si>
  <si>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</si>
  <si>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</si>
  <si>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</si>
  <si>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</si>
  <si>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</si>
  <si>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</si>
  <si>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</si>
  <si>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</si>
  <si>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</si>
  <si>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</si>
  <si>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</si>
  <si>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</si>
  <si>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</si>
  <si>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</si>
  <si>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</si>
  <si>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</si>
  <si>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</si>
  <si>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</si>
  <si>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</si>
  <si>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</si>
  <si>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</si>
  <si>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</si>
  <si>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</si>
  <si>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</si>
  <si>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</si>
  <si>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</si>
  <si>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</si>
  <si>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</si>
  <si>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</si>
  <si>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</si>
  <si>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</si>
  <si>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</si>
  <si>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</si>
  <si>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</si>
  <si>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</si>
  <si>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</si>
  <si>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</si>
  <si>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</si>
  <si>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</si>
  <si>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</si>
  <si>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</si>
  <si>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</si>
  <si>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</si>
  <si>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</si>
  <si>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</si>
  <si>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</si>
  <si>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</si>
  <si>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</si>
  <si>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</si>
  <si>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</si>
  <si>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</si>
  <si>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</si>
  <si>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</si>
  <si>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</si>
  <si>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</si>
  <si>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</si>
  <si>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</si>
  <si>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</si>
  <si>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</si>
  <si>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</si>
  <si>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</si>
  <si>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</si>
  <si>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</si>
  <si>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</si>
  <si>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</si>
  <si>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</si>
  <si>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</si>
  <si>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</si>
  <si>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</si>
  <si>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</si>
  <si>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</si>
  <si>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</si>
  <si>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</si>
  <si>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</si>
  <si>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</si>
  <si>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</si>
  <si>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</si>
  <si>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</si>
  <si>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</si>
  <si>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</si>
  <si>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</si>
  <si>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</si>
  <si>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</si>
  <si>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</si>
  <si>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</si>
  <si>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</si>
  <si>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</si>
  <si>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</si>
  <si>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</si>
  <si>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</si>
  <si>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</si>
  <si>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</si>
  <si>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</si>
  <si>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2026-06-24 — Ridgeville Parks District — 6:00 PM</t>
  </si>
  <si>
    <t>#</t>
  </si>
  <si>
    <t>Vocals</t>
  </si>
  <si>
    <t>Total Set Length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</si>
  <si>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</si>
  <si>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</si>
  <si>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</si>
  <si>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</si>
  <si>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</si>
  <si>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</si>
  <si>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</si>
  <si>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</si>
  <si>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</si>
  <si>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</si>
  <si>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</si>
  <si>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</si>
  <si>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</si>
  <si>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</si>
  <si>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</si>
  <si>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</si>
  <si>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</si>
  <si>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</si>
  <si>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</si>
  <si>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</si>
  <si>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</si>
  <si>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</si>
  <si>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</si>
  <si>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</si>
  <si>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</si>
  <si>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</si>
  <si>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</si>
  <si>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</si>
  <si>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</si>
  <si>
    <t>2026-06-21
Chicago Union</t>
  </si>
  <si>
    <t>2026-06-21 | Chicago Union FC | 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</si>
</sst>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  <numFmt numFmtId="167" formatCode="m:ss"/>
  </numFmts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6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69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1" xfId="0" applyFont="1" applyBorder="1"/>
    <xf numFmtId="0" fontId="19" fillId="0" borderId="8" xfId="0" applyFont="1" applyBorder="1" applyAlignment="1">
      <alignment horizontal="left" vertical="center"/>
    </xf>
    <xf numFmtId="0" fontId="19" fillId="0" borderId="8" xfId="0" applyFont="1" applyBorder="1" applyAlignment="1">
      <alignment horizontal="center" vertic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9" fillId="0" borderId="15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2" xfId="0" applyFont="1" applyBorder="1" applyAlignment="1">
      <alignment horizontal="center" vertical="center"/>
    </xf>
    <xf numFmtId="46" fontId="20" fillId="0" borderId="16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/>
    </xf>
    <xf numFmtId="0" fontId="19" fillId="0" borderId="20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16" fillId="0" borderId="20" xfId="0" applyFont="1" applyBorder="1" applyAlignment="1">
      <alignment horizontal="center"/>
    </xf>
    <xf numFmtId="165" fontId="16" fillId="0" borderId="21" xfId="0" applyNumberFormat="1" applyFont="1" applyBorder="1" applyAlignment="1">
      <alignment horizont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left" vertical="center"/>
    </xf>
    <xf numFmtId="0" fontId="20" fillId="0" borderId="23" xfId="0" applyFont="1" applyBorder="1" applyAlignment="1">
      <alignment horizontal="center" vertical="center"/>
    </xf>
    <xf numFmtId="46" fontId="20" fillId="0" borderId="24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19" fillId="2" borderId="32" xfId="0" applyFont="1" applyFill="1" applyBorder="1" applyAlignment="1">
      <alignment horizontal="center" vertical="center"/>
    </xf>
    <xf numFmtId="0" fontId="19" fillId="2" borderId="31" xfId="0" applyFont="1" applyFill="1" applyBorder="1" applyAlignment="1">
      <alignment horizontal="center" vertical="center"/>
    </xf>
    <xf numFmtId="0" fontId="19" fillId="2" borderId="30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10" fillId="2" borderId="35" xfId="0" applyFont="1" applyFill="1" applyBorder="1" applyAlignment="1">
      <alignment horizontal="left" vertical="center"/>
    </xf>
    <xf numFmtId="165" fontId="3" fillId="2" borderId="36" xfId="0" applyNumberFormat="1" applyFont="1" applyFill="1" applyBorder="1" applyAlignment="1">
      <alignment horizontal="left" vertical="center"/>
    </xf>
    <xf numFmtId="0" fontId="3" fillId="2" borderId="32" xfId="0" applyFont="1" applyFill="1" applyBorder="1" applyAlignment="1">
      <alignment horizontal="left" vertical="center"/>
    </xf>
    <xf numFmtId="0" fontId="3" fillId="2" borderId="31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0" fontId="10" fillId="2" borderId="38" xfId="0" applyFont="1" applyFill="1" applyBorder="1" applyAlignment="1">
      <alignment horizontal="left" vertical="center"/>
    </xf>
    <xf numFmtId="0" fontId="15" fillId="2" borderId="37" xfId="2" applyFont="1" applyFill="1" applyBorder="1" applyAlignment="1">
      <alignment horizontal="left" vertical="center"/>
    </xf>
    <xf numFmtId="0" fontId="12" fillId="0" borderId="39" xfId="2" applyFont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 wrapText="1"/>
    </xf>
    <xf numFmtId="0" fontId="3" fillId="2" borderId="41" xfId="0" applyFont="1" applyFill="1" applyBorder="1" applyAlignment="1">
      <alignment horizontal="left" vertical="center"/>
    </xf>
    <xf numFmtId="165" fontId="21" fillId="2" borderId="30" xfId="0" applyNumberFormat="1" applyFont="1" applyFill="1" applyBorder="1" applyAlignment="1">
      <alignment horizontal="left" vertical="center"/>
    </xf>
    <xf numFmtId="0" fontId="20" fillId="2" borderId="45" xfId="0" applyFont="1" applyFill="1" applyBorder="1" applyAlignment="1">
      <alignment horizontal="left" vertical="center"/>
    </xf>
    <xf numFmtId="0" fontId="20" fillId="2" borderId="46" xfId="0" applyFont="1" applyFill="1" applyBorder="1" applyAlignment="1">
      <alignment horizontal="left" vertical="center"/>
    </xf>
    <xf numFmtId="46" fontId="20" fillId="2" borderId="47" xfId="0" applyNumberFormat="1" applyFont="1" applyFill="1" applyBorder="1" applyAlignment="1">
      <alignment horizontal="left" vertical="center"/>
    </xf>
    <xf numFmtId="0" fontId="3" fillId="4" borderId="42" xfId="0" applyFont="1" applyFill="1" applyBorder="1" applyAlignment="1">
      <alignment horizontal="left" vertical="center" wrapText="1"/>
    </xf>
    <xf numFmtId="0" fontId="10" fillId="4" borderId="43" xfId="0" applyFont="1" applyFill="1" applyBorder="1" applyAlignment="1">
      <alignment horizontal="left" vertical="center"/>
    </xf>
    <xf numFmtId="0" fontId="10" fillId="4" borderId="38" xfId="0" applyFont="1" applyFill="1" applyBorder="1" applyAlignment="1">
      <alignment horizontal="left" vertical="center"/>
    </xf>
    <xf numFmtId="165" fontId="3" fillId="4" borderId="44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3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5" fontId="3" fillId="5" borderId="2" xfId="0" applyNumberFormat="1" applyFont="1" applyFill="1" applyBorder="1" applyAlignment="1">
      <alignment horizontal="center" vertical="center"/>
    </xf>
    <xf numFmtId="0" fontId="0" fillId="5" borderId="0" xfId="0" applyFill="1"/>
    <xf numFmtId="0" fontId="12" fillId="5" borderId="0" xfId="2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left" vertical="center"/>
    </xf>
    <xf numFmtId="0" fontId="3" fillId="5" borderId="49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left" vertical="center"/>
    </xf>
    <xf numFmtId="0" fontId="3" fillId="2" borderId="50" xfId="0" applyFont="1" applyFill="1" applyBorder="1" applyAlignment="1">
      <alignment horizontal="left" vertical="center"/>
    </xf>
    <xf numFmtId="0" fontId="3" fillId="5" borderId="51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0" fillId="2" borderId="52" xfId="0" applyFill="1" applyBorder="1"/>
    <xf numFmtId="0" fontId="0" fillId="5" borderId="52" xfId="0" applyFill="1" applyBorder="1"/>
    <xf numFmtId="0" fontId="3" fillId="2" borderId="52" xfId="0" applyFont="1" applyFill="1" applyBorder="1" applyAlignment="1">
      <alignment horizontal="left" vertical="center"/>
    </xf>
    <xf numFmtId="0" fontId="3" fillId="5" borderId="52" xfId="0" applyFont="1" applyFill="1" applyBorder="1" applyAlignment="1">
      <alignment horizontal="left" vertical="center"/>
    </xf>
    <xf numFmtId="0" fontId="0" fillId="2" borderId="53" xfId="0" applyFill="1" applyBorder="1"/>
    <xf numFmtId="0" fontId="3" fillId="2" borderId="54" xfId="0" applyFont="1" applyFill="1" applyBorder="1" applyAlignment="1">
      <alignment horizontal="center" vertical="center"/>
    </xf>
    <xf numFmtId="0" fontId="3" fillId="5" borderId="55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3" fillId="2" borderId="5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2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  <xf numFmtId="0" fontId="7" fillId="0" borderId="45" xfId="0" applyFont="1" applyBorder="1"/>
    <xf numFmtId="0" fontId="7" fillId="0" borderId="56" xfId="0" applyFont="1" applyBorder="1"/>
    <xf numFmtId="0" fontId="19" fillId="2" borderId="59" xfId="0" applyFont="1" applyFill="1" applyBorder="1" applyAlignment="1">
      <alignment horizontal="center" vertical="center"/>
    </xf>
    <xf numFmtId="0" fontId="19" fillId="2" borderId="60" xfId="0" applyFont="1" applyFill="1" applyBorder="1" applyAlignment="1">
      <alignment horizontal="center" vertical="center"/>
    </xf>
    <xf numFmtId="0" fontId="7" fillId="2" borderId="58" xfId="0" applyFont="1" applyFill="1" applyBorder="1" applyAlignment="1">
      <alignment horizontal="left"/>
    </xf>
    <xf numFmtId="0" fontId="10" fillId="2" borderId="58" xfId="0" applyFont="1" applyFill="1" applyBorder="1" applyAlignment="1">
      <alignment horizontal="left" vertical="center"/>
    </xf>
    <xf numFmtId="165" fontId="7" fillId="2" borderId="58" xfId="0" applyNumberFormat="1" applyFont="1" applyFill="1" applyBorder="1" applyAlignment="1">
      <alignment horizontal="left"/>
    </xf>
    <xf numFmtId="0" fontId="7" fillId="5" borderId="58" xfId="0" applyFont="1" applyFill="1" applyBorder="1" applyAlignment="1">
      <alignment horizontal="left"/>
    </xf>
    <xf numFmtId="0" fontId="10" fillId="5" borderId="58" xfId="0" applyFont="1" applyFill="1" applyBorder="1" applyAlignment="1">
      <alignment horizontal="left" vertical="center"/>
    </xf>
    <xf numFmtId="165" fontId="7" fillId="5" borderId="58" xfId="0" applyNumberFormat="1" applyFont="1" applyFill="1" applyBorder="1" applyAlignment="1">
      <alignment horizontal="left"/>
    </xf>
    <xf numFmtId="0" fontId="17" fillId="2" borderId="17" xfId="0" applyFont="1" applyFill="1" applyBorder="1" applyAlignment="1">
      <alignment horizontal="center" vertical="center"/>
    </xf>
    <xf numFmtId="0" fontId="17" fillId="2" borderId="18" xfId="0" applyFont="1" applyFill="1" applyBorder="1" applyAlignment="1">
      <alignment horizontal="center" vertical="center"/>
    </xf>
    <xf numFmtId="0" fontId="17" fillId="2" borderId="19" xfId="0" applyFont="1" applyFill="1" applyBorder="1" applyAlignment="1">
      <alignment horizontal="center" vertical="center"/>
    </xf>
    <xf numFmtId="0" fontId="17" fillId="2" borderId="25" xfId="0" applyFont="1" applyFill="1" applyBorder="1" applyAlignment="1">
      <alignment horizontal="center" vertical="center"/>
    </xf>
    <xf numFmtId="0" fontId="17" fillId="2" borderId="26" xfId="0" applyFont="1" applyFill="1" applyBorder="1" applyAlignment="1">
      <alignment horizontal="center" vertical="center"/>
    </xf>
    <xf numFmtId="0" fontId="17" fillId="2" borderId="27" xfId="0" applyFont="1" applyFill="1" applyBorder="1" applyAlignment="1">
      <alignment horizontal="center" vertical="center"/>
    </xf>
    <xf numFmtId="0" fontId="20" fillId="3" borderId="28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29" xfId="0" applyFont="1" applyFill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167" fontId="7" fillId="5" borderId="58" xfId="0" applyNumberFormat="1" applyFont="1" applyFill="1" applyBorder="1" applyAlignment="1">
      <alignment horizontal="left"/>
    </xf>
    <xf numFmtId="0" fontId="15" fillId="2" borderId="58" xfId="2" applyFont="1" applyFill="1" applyBorder="1" applyAlignment="1">
      <alignment horizontal="left" vertical="center"/>
    </xf>
    <xf numFmtId="0" fontId="12" fillId="2" borderId="58" xfId="2" applyFont="1" applyFill="1" applyBorder="1" applyAlignment="1">
      <alignment horizontal="left" vertical="center"/>
    </xf>
    <xf numFmtId="0" fontId="7" fillId="2" borderId="61" xfId="0" applyFont="1" applyFill="1" applyBorder="1" applyAlignment="1">
      <alignment horizontal="left"/>
    </xf>
    <xf numFmtId="0" fontId="10" fillId="2" borderId="61" xfId="0" applyFont="1" applyFill="1" applyBorder="1" applyAlignment="1">
      <alignment horizontal="left" vertical="center"/>
    </xf>
    <xf numFmtId="165" fontId="7" fillId="2" borderId="61" xfId="0" applyNumberFormat="1" applyFont="1" applyFill="1" applyBorder="1" applyAlignment="1">
      <alignment horizontal="left"/>
    </xf>
    <xf numFmtId="165" fontId="7" fillId="0" borderId="57" xfId="0" applyNumberFormat="1" applyFont="1" applyBorder="1" applyAlignment="1">
      <alignment horizontal="left"/>
    </xf>
  </cellXfs>
  <cellStyles count="3">
    <cellStyle name="Currency" xfId="1" builtinId="4"/>
    <cellStyle name="Hyperlink" xfId="2" builtinId="8"/>
    <cellStyle name="Normal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police/message-in-a-bottle-official-1957169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chappell-roan/pink-pony-club-official-5236500" TargetMode="External"/><Relationship Id="rId3" Type="http://schemas.openxmlformats.org/officeDocument/2006/relationships/hyperlink" Target="https://www.kingsofewing.com/docs/music/head%20over%20heels%20official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message_in_a_bottle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pink_pony_club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the-dandy-warhols/bohemian-like-you-official-282904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no%20one%20to%20depend%20on.pdf" TargetMode="External"/><Relationship Id="rId24" Type="http://schemas.openxmlformats.org/officeDocument/2006/relationships/hyperlink" Target="https://tabs.ultimate-guitar.com/tab/the-cure/just-like-heaven-official-1961213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smooth_operator.pdf" TargetMode="External"/><Relationship Id="rId23" Type="http://schemas.openxmlformats.org/officeDocument/2006/relationships/hyperlink" Target="https://www.kingsofewing.com/docs/music/just%20like%20heave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kingsofewing.com/docs/music/Bohemian%20Like%20You.pdf" TargetMode="External"/><Relationship Id="rId4" Type="http://schemas.openxmlformats.org/officeDocument/2006/relationships/hyperlink" Target="https://tabs.ultimate-guitar.com/tab/tears-for-fears/head-over-heels-official-271788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Relationship Id="rId27" Type="http://schemas.openxmlformats.org/officeDocument/2006/relationships/hyperlink" Target="https://www.kingsofewing.com/docs/music/whipping_post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26" width="16" customWidth="1"/>
    <col min="27" max="27" width="23.5" customWidth="1"/>
    <col min="28" max="28" width="16.83203125" customWidth="1"/>
    <col min="29" max="30" width="16.33203125" customWidth="1"/>
  </cols>
  <sheetData>
    <row r="1" spans="1:30" s="2" customFormat="1" ht="28" customHeight="1" thickTop="1" thickBot="1" x14ac:dyDescent="0.25">
      <c r="A1" s="43" t="s">
        <v>0</v>
      </c>
      <c r="B1" s="37"/>
      <c r="C1" s="37"/>
      <c r="D1" s="37"/>
      <c r="E1" s="37"/>
      <c r="F1" s="37"/>
      <c r="G1" s="37"/>
      <c r="H1" s="37"/>
      <c r="I1" s="37"/>
      <c r="J1" s="38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</row>
    <row r="2" spans="1:30" s="3" customFormat="1" ht="56" customHeight="1" thickTop="1" thickBot="1" x14ac:dyDescent="0.25">
      <c r="A2" s="126" t="s">
        <v>1</v>
      </c>
      <c r="B2" s="126" t="s">
        <v>2</v>
      </c>
      <c r="C2" s="126" t="s">
        <v>3</v>
      </c>
      <c r="D2" s="126" t="s">
        <v>4</v>
      </c>
      <c r="E2" s="126" t="s">
        <v>5</v>
      </c>
      <c r="F2" s="126" t="s">
        <v>6</v>
      </c>
      <c r="G2" s="126" t="s">
        <v>7</v>
      </c>
      <c r="H2" s="126" t="s">
        <v>8</v>
      </c>
      <c r="I2" s="126" t="s">
        <v>9</v>
      </c>
      <c r="J2" s="126" t="s">
        <v>10</v>
      </c>
      <c r="K2" s="126" t="s">
        <v>11</v>
      </c>
      <c r="L2" s="127" t="s">
        <v>271</v>
      </c>
      <c r="M2" s="128" t="s">
        <v>267</v>
      </c>
      <c r="N2" s="128" t="s">
        <v>274</v>
      </c>
      <c r="O2" s="129" t="s">
        <v>12</v>
      </c>
      <c r="P2" s="129" t="s">
        <v>13</v>
      </c>
      <c r="Q2" s="129" t="s">
        <v>14</v>
      </c>
      <c r="R2" s="129" t="s">
        <v>15</v>
      </c>
      <c r="S2" s="129" t="s">
        <v>16</v>
      </c>
      <c r="T2" s="129" t="s">
        <v>17</v>
      </c>
      <c r="U2" s="129" t="s">
        <v>18</v>
      </c>
      <c r="V2" s="129" t="s">
        <v>19</v>
      </c>
      <c r="W2" s="129" t="s">
        <v>20</v>
      </c>
      <c r="X2" s="129" t="s">
        <v>21</v>
      </c>
      <c r="Y2" s="129" t="s">
        <v>22</v>
      </c>
      <c r="Z2" s="129" t="s">
        <v>23</v>
      </c>
      <c r="AA2" s="129" t="s">
        <v>24</v>
      </c>
      <c r="AB2" s="129" t="s">
        <v>25</v>
      </c>
      <c r="AC2" s="129" t="s">
        <v>26</v>
      </c>
      <c r="AD2" s="129" t="s">
        <v>27</v>
      </c>
    </row>
    <row r="3" spans="1:30" ht="22" customHeight="1" thickTop="1" x14ac:dyDescent="0.2">
      <c r="A3" s="9" t="s">
        <v>28</v>
      </c>
      <c r="B3" s="39" t="s">
        <v>2</v>
      </c>
      <c r="C3" s="39" t="s">
        <v>3</v>
      </c>
      <c r="D3" s="9" t="s">
        <v>29</v>
      </c>
      <c r="E3" s="9" t="s">
        <v>30</v>
      </c>
      <c r="F3" s="124">
        <v>2.7662037037037039E-3</v>
      </c>
      <c r="G3" s="9" t="s">
        <v>31</v>
      </c>
      <c r="H3" s="9"/>
      <c r="I3" s="9" t="s">
        <v>32</v>
      </c>
      <c r="J3" s="9" t="s">
        <v>33</v>
      </c>
      <c r="K3" s="108"/>
      <c r="L3" s="125">
        <f t="shared" ref="L3:L48" si="0">COUNTIF(M3:AD3,"✓")</f>
        <v>2</v>
      </c>
      <c r="M3" s="119"/>
      <c r="N3" s="119"/>
      <c r="O3" s="118"/>
      <c r="P3" s="111"/>
      <c r="Q3" s="9"/>
      <c r="R3" s="9"/>
      <c r="S3" s="9"/>
      <c r="T3" s="9" t="s">
        <v>32</v>
      </c>
      <c r="U3" s="9" t="s">
        <v>32</v>
      </c>
      <c r="V3" s="9"/>
      <c r="W3" s="9"/>
      <c r="X3" s="9"/>
      <c r="Y3" s="9"/>
      <c r="Z3" s="9"/>
      <c r="AA3" s="9"/>
      <c r="AB3" s="9"/>
      <c r="AC3" s="9"/>
      <c r="AD3" s="9"/>
    </row>
    <row r="4" spans="1:30" ht="22" customHeight="1" x14ac:dyDescent="0.2">
      <c r="A4" s="101" t="s">
        <v>34</v>
      </c>
      <c r="B4" s="102" t="s">
        <v>2</v>
      </c>
      <c r="C4" s="102" t="s">
        <v>3</v>
      </c>
      <c r="D4" s="101" t="s">
        <v>35</v>
      </c>
      <c r="E4" s="103" t="s">
        <v>30</v>
      </c>
      <c r="F4" s="104">
        <v>3.9583333333333337E-3</v>
      </c>
      <c r="G4" s="101" t="s">
        <v>36</v>
      </c>
      <c r="H4" s="101"/>
      <c r="I4" s="101"/>
      <c r="J4" s="101" t="s">
        <v>37</v>
      </c>
      <c r="K4" s="109"/>
      <c r="L4" s="123">
        <f t="shared" si="0"/>
        <v>3</v>
      </c>
      <c r="M4" s="120"/>
      <c r="N4" s="120"/>
      <c r="O4" s="115"/>
      <c r="P4" s="112"/>
      <c r="Q4" s="101"/>
      <c r="R4" s="101"/>
      <c r="S4" s="101"/>
      <c r="T4" s="101"/>
      <c r="U4" s="101" t="s">
        <v>32</v>
      </c>
      <c r="V4" s="101"/>
      <c r="W4" s="101"/>
      <c r="X4" s="101"/>
      <c r="Y4" s="101" t="s">
        <v>32</v>
      </c>
      <c r="Z4" s="101" t="s">
        <v>32</v>
      </c>
      <c r="AA4" s="101"/>
      <c r="AB4" s="101"/>
      <c r="AC4" s="101"/>
      <c r="AD4" s="101"/>
    </row>
    <row r="5" spans="1:30" ht="22" customHeight="1" x14ac:dyDescent="0.2">
      <c r="A5" s="10" t="s">
        <v>246</v>
      </c>
      <c r="B5" s="40" t="s">
        <v>2</v>
      </c>
      <c r="C5" s="39" t="s">
        <v>3</v>
      </c>
      <c r="D5" s="10" t="s">
        <v>38</v>
      </c>
      <c r="E5" s="9" t="s">
        <v>30</v>
      </c>
      <c r="F5" s="56">
        <v>2.5810185185185185E-3</v>
      </c>
      <c r="G5" s="10" t="s">
        <v>39</v>
      </c>
      <c r="H5" s="10"/>
      <c r="I5" s="10" t="s">
        <v>32</v>
      </c>
      <c r="J5" s="10" t="s">
        <v>40</v>
      </c>
      <c r="K5" s="110"/>
      <c r="L5" s="122">
        <f t="shared" si="0"/>
        <v>10</v>
      </c>
      <c r="M5" s="121" t="s">
        <v>32</v>
      </c>
      <c r="N5" s="121" t="s">
        <v>32</v>
      </c>
      <c r="O5" s="116" t="s">
        <v>32</v>
      </c>
      <c r="P5" s="113" t="s">
        <v>32</v>
      </c>
      <c r="Q5" s="10"/>
      <c r="R5" s="10" t="s">
        <v>32</v>
      </c>
      <c r="S5" s="10"/>
      <c r="T5" s="10"/>
      <c r="U5" s="10" t="s">
        <v>32</v>
      </c>
      <c r="V5" s="10"/>
      <c r="W5" s="10" t="s">
        <v>32</v>
      </c>
      <c r="X5" s="10"/>
      <c r="Y5" s="10" t="s">
        <v>32</v>
      </c>
      <c r="Z5" s="10" t="s">
        <v>32</v>
      </c>
      <c r="AA5" s="10"/>
      <c r="AB5" s="10" t="s">
        <v>32</v>
      </c>
      <c r="AC5" s="10"/>
      <c r="AD5" s="10"/>
    </row>
    <row r="6" spans="1:30" ht="22" customHeight="1" x14ac:dyDescent="0.2">
      <c r="A6" s="101" t="s">
        <v>41</v>
      </c>
      <c r="B6" s="102" t="s">
        <v>2</v>
      </c>
      <c r="C6" s="102" t="s">
        <v>3</v>
      </c>
      <c r="D6" s="101" t="s">
        <v>42</v>
      </c>
      <c r="E6" s="103" t="s">
        <v>30</v>
      </c>
      <c r="F6" s="104">
        <v>2.7199074074074074E-3</v>
      </c>
      <c r="G6" s="101" t="s">
        <v>39</v>
      </c>
      <c r="H6" s="101"/>
      <c r="I6" s="101" t="s">
        <v>32</v>
      </c>
      <c r="J6" s="101" t="s">
        <v>43</v>
      </c>
      <c r="K6" s="109"/>
      <c r="L6" s="123">
        <f t="shared" si="0"/>
        <v>4</v>
      </c>
      <c r="M6" s="120" t="s">
        <v>32</v>
      </c>
      <c r="N6" s="120"/>
      <c r="O6" s="115"/>
      <c r="P6" s="112"/>
      <c r="Q6" s="101"/>
      <c r="R6" s="101" t="s">
        <v>32</v>
      </c>
      <c r="S6" s="101" t="s">
        <v>32</v>
      </c>
      <c r="T6" s="101"/>
      <c r="U6" s="101" t="s">
        <v>32</v>
      </c>
      <c r="V6" s="101"/>
      <c r="W6" s="101"/>
      <c r="X6" s="101"/>
      <c r="Y6" s="101"/>
      <c r="Z6" s="101"/>
      <c r="AA6" s="101"/>
      <c r="AB6" s="101"/>
      <c r="AC6" s="101"/>
      <c r="AD6" s="101"/>
    </row>
    <row r="7" spans="1:30" ht="22" customHeight="1" x14ac:dyDescent="0.2">
      <c r="A7" s="10" t="s">
        <v>44</v>
      </c>
      <c r="B7" s="11" t="s">
        <v>2</v>
      </c>
      <c r="C7" s="11" t="s">
        <v>3</v>
      </c>
      <c r="D7" s="10" t="s">
        <v>45</v>
      </c>
      <c r="E7" s="9" t="s">
        <v>30</v>
      </c>
      <c r="F7" s="56">
        <v>3.414351851851852E-3</v>
      </c>
      <c r="G7" s="10" t="s">
        <v>31</v>
      </c>
      <c r="H7" s="10"/>
      <c r="I7" s="10" t="s">
        <v>32</v>
      </c>
      <c r="J7" s="10" t="s">
        <v>43</v>
      </c>
      <c r="K7" s="110"/>
      <c r="L7" s="122">
        <f t="shared" si="0"/>
        <v>6</v>
      </c>
      <c r="M7" s="121" t="s">
        <v>32</v>
      </c>
      <c r="N7" s="121" t="s">
        <v>32</v>
      </c>
      <c r="O7" s="116" t="s">
        <v>32</v>
      </c>
      <c r="P7" s="113" t="s">
        <v>32</v>
      </c>
      <c r="Q7" s="10" t="s">
        <v>32</v>
      </c>
      <c r="R7" s="10" t="s">
        <v>32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spans="1:30" ht="22" customHeight="1" x14ac:dyDescent="0.2">
      <c r="A8" s="101" t="s">
        <v>46</v>
      </c>
      <c r="B8" s="102" t="s">
        <v>2</v>
      </c>
      <c r="C8" s="102" t="s">
        <v>3</v>
      </c>
      <c r="D8" s="101" t="s">
        <v>47</v>
      </c>
      <c r="E8" s="103" t="s">
        <v>30</v>
      </c>
      <c r="F8" s="104">
        <v>1.7476851851851852E-3</v>
      </c>
      <c r="G8" s="101" t="s">
        <v>48</v>
      </c>
      <c r="H8" s="103" t="s">
        <v>32</v>
      </c>
      <c r="I8" s="101" t="s">
        <v>32</v>
      </c>
      <c r="J8" s="101" t="s">
        <v>43</v>
      </c>
      <c r="K8" s="109"/>
      <c r="L8" s="123">
        <f t="shared" si="0"/>
        <v>9</v>
      </c>
      <c r="M8" s="120"/>
      <c r="N8" s="120"/>
      <c r="O8" s="115"/>
      <c r="P8" s="112"/>
      <c r="Q8" s="101"/>
      <c r="R8" s="101" t="s">
        <v>32</v>
      </c>
      <c r="S8" s="101"/>
      <c r="T8" s="101"/>
      <c r="U8" s="101" t="s">
        <v>32</v>
      </c>
      <c r="V8" s="101" t="s">
        <v>32</v>
      </c>
      <c r="W8" s="101" t="s">
        <v>32</v>
      </c>
      <c r="X8" s="101" t="s">
        <v>32</v>
      </c>
      <c r="Y8" s="101" t="s">
        <v>32</v>
      </c>
      <c r="Z8" s="101" t="s">
        <v>32</v>
      </c>
      <c r="AA8" s="101"/>
      <c r="AB8" s="101" t="s">
        <v>32</v>
      </c>
      <c r="AC8" s="101"/>
      <c r="AD8" s="101" t="s">
        <v>32</v>
      </c>
    </row>
    <row r="9" spans="1:30" ht="22" customHeight="1" x14ac:dyDescent="0.2">
      <c r="A9" s="10" t="s">
        <v>49</v>
      </c>
      <c r="B9" s="11" t="s">
        <v>2</v>
      </c>
      <c r="C9" s="11" t="s">
        <v>3</v>
      </c>
      <c r="D9" s="10" t="s">
        <v>42</v>
      </c>
      <c r="E9" s="9" t="s">
        <v>30</v>
      </c>
      <c r="F9" s="56">
        <v>2.1875000000000002E-3</v>
      </c>
      <c r="G9" s="10" t="s">
        <v>31</v>
      </c>
      <c r="H9" s="10"/>
      <c r="I9" s="10" t="s">
        <v>32</v>
      </c>
      <c r="J9" s="10" t="s">
        <v>43</v>
      </c>
      <c r="K9" s="110"/>
      <c r="L9" s="122">
        <f t="shared" si="0"/>
        <v>18</v>
      </c>
      <c r="M9" s="121" t="s">
        <v>32</v>
      </c>
      <c r="N9" s="121" t="s">
        <v>32</v>
      </c>
      <c r="O9" s="116" t="s">
        <v>32</v>
      </c>
      <c r="P9" s="113" t="s">
        <v>32</v>
      </c>
      <c r="Q9" s="10" t="s">
        <v>32</v>
      </c>
      <c r="R9" s="10" t="s">
        <v>32</v>
      </c>
      <c r="S9" s="10" t="s">
        <v>32</v>
      </c>
      <c r="T9" s="10" t="s">
        <v>32</v>
      </c>
      <c r="U9" s="10" t="s">
        <v>32</v>
      </c>
      <c r="V9" s="10" t="s">
        <v>32</v>
      </c>
      <c r="W9" s="10" t="s">
        <v>32</v>
      </c>
      <c r="X9" s="10" t="s">
        <v>32</v>
      </c>
      <c r="Y9" s="10" t="s">
        <v>32</v>
      </c>
      <c r="Z9" s="10" t="s">
        <v>32</v>
      </c>
      <c r="AA9" s="10" t="s">
        <v>32</v>
      </c>
      <c r="AB9" s="10" t="s">
        <v>32</v>
      </c>
      <c r="AC9" s="10" t="s">
        <v>32</v>
      </c>
      <c r="AD9" s="10" t="s">
        <v>32</v>
      </c>
    </row>
    <row r="10" spans="1:30" ht="22" customHeight="1" x14ac:dyDescent="0.2">
      <c r="A10" s="101" t="s">
        <v>50</v>
      </c>
      <c r="B10" s="102" t="s">
        <v>2</v>
      </c>
      <c r="C10" s="102" t="s">
        <v>3</v>
      </c>
      <c r="D10" s="101" t="s">
        <v>51</v>
      </c>
      <c r="E10" s="103" t="s">
        <v>30</v>
      </c>
      <c r="F10" s="104">
        <v>3.3449074074074076E-3</v>
      </c>
      <c r="G10" s="101" t="s">
        <v>48</v>
      </c>
      <c r="H10" s="103" t="s">
        <v>32</v>
      </c>
      <c r="I10" s="101"/>
      <c r="J10" s="101" t="s">
        <v>37</v>
      </c>
      <c r="K10" s="109"/>
      <c r="L10" s="123">
        <f t="shared" si="0"/>
        <v>1</v>
      </c>
      <c r="M10" s="120"/>
      <c r="N10" s="120"/>
      <c r="O10" s="115"/>
      <c r="P10" s="112"/>
      <c r="Q10" s="101"/>
      <c r="R10" s="101"/>
      <c r="S10" s="101"/>
      <c r="T10" s="101"/>
      <c r="U10" s="101"/>
      <c r="V10" s="101"/>
      <c r="W10" s="101"/>
      <c r="X10" s="101"/>
      <c r="Y10" s="101" t="s">
        <v>32</v>
      </c>
      <c r="Z10" s="101"/>
      <c r="AA10" s="101"/>
      <c r="AB10" s="101"/>
      <c r="AC10" s="101"/>
      <c r="AD10" s="101"/>
    </row>
    <row r="11" spans="1:30" ht="22" customHeight="1" x14ac:dyDescent="0.2">
      <c r="A11" s="10" t="s">
        <v>52</v>
      </c>
      <c r="B11" s="11" t="s">
        <v>2</v>
      </c>
      <c r="C11" s="11" t="s">
        <v>3</v>
      </c>
      <c r="D11" s="10" t="s">
        <v>53</v>
      </c>
      <c r="E11" s="9" t="s">
        <v>30</v>
      </c>
      <c r="F11" s="56">
        <v>5.5555555555555558E-3</v>
      </c>
      <c r="G11" s="10" t="s">
        <v>31</v>
      </c>
      <c r="H11" s="10"/>
      <c r="I11" s="10"/>
      <c r="J11" s="10" t="s">
        <v>33</v>
      </c>
      <c r="K11" s="110"/>
      <c r="L11" s="122">
        <f t="shared" si="0"/>
        <v>9</v>
      </c>
      <c r="M11" s="121"/>
      <c r="N11" s="121"/>
      <c r="O11" s="114"/>
      <c r="P11" s="113"/>
      <c r="Q11" s="10"/>
      <c r="R11" s="10"/>
      <c r="S11" s="10"/>
      <c r="T11" s="10"/>
      <c r="U11" s="10" t="s">
        <v>32</v>
      </c>
      <c r="V11" s="10" t="s">
        <v>32</v>
      </c>
      <c r="W11" s="10"/>
      <c r="X11" s="10" t="s">
        <v>32</v>
      </c>
      <c r="Y11" s="10" t="s">
        <v>32</v>
      </c>
      <c r="Z11" s="10" t="s">
        <v>32</v>
      </c>
      <c r="AA11" s="10" t="s">
        <v>32</v>
      </c>
      <c r="AB11" s="10" t="s">
        <v>32</v>
      </c>
      <c r="AC11" s="10" t="s">
        <v>32</v>
      </c>
      <c r="AD11" s="10" t="s">
        <v>32</v>
      </c>
    </row>
    <row r="12" spans="1:30" ht="22" customHeight="1" x14ac:dyDescent="0.2">
      <c r="A12" s="101" t="s">
        <v>54</v>
      </c>
      <c r="B12" s="102" t="s">
        <v>2</v>
      </c>
      <c r="C12" s="102" t="s">
        <v>3</v>
      </c>
      <c r="D12" s="101" t="s">
        <v>55</v>
      </c>
      <c r="E12" s="103" t="s">
        <v>30</v>
      </c>
      <c r="F12" s="104">
        <v>2.7430555555555554E-3</v>
      </c>
      <c r="G12" s="101" t="s">
        <v>39</v>
      </c>
      <c r="H12" s="101"/>
      <c r="I12" s="101" t="s">
        <v>32</v>
      </c>
      <c r="J12" s="101" t="s">
        <v>56</v>
      </c>
      <c r="K12" s="109"/>
      <c r="L12" s="123">
        <f t="shared" si="0"/>
        <v>7</v>
      </c>
      <c r="M12" s="120" t="s">
        <v>32</v>
      </c>
      <c r="N12" s="120" t="s">
        <v>32</v>
      </c>
      <c r="O12" s="117" t="s">
        <v>32</v>
      </c>
      <c r="P12" s="112" t="s">
        <v>32</v>
      </c>
      <c r="Q12" s="101" t="s">
        <v>32</v>
      </c>
      <c r="R12" s="101" t="s">
        <v>32</v>
      </c>
      <c r="S12" s="101" t="s">
        <v>32</v>
      </c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</row>
    <row r="13" spans="1:30" ht="22" customHeight="1" x14ac:dyDescent="0.2">
      <c r="A13" s="10" t="s">
        <v>57</v>
      </c>
      <c r="B13" s="11" t="s">
        <v>2</v>
      </c>
      <c r="C13" s="11" t="s">
        <v>3</v>
      </c>
      <c r="D13" s="10" t="s">
        <v>58</v>
      </c>
      <c r="E13" s="9" t="s">
        <v>59</v>
      </c>
      <c r="F13" s="56">
        <v>2.3032407407407407E-3</v>
      </c>
      <c r="G13" s="10" t="s">
        <v>39</v>
      </c>
      <c r="H13" s="10"/>
      <c r="I13" s="10" t="s">
        <v>32</v>
      </c>
      <c r="J13" s="10" t="s">
        <v>60</v>
      </c>
      <c r="K13" s="110"/>
      <c r="L13" s="122">
        <f t="shared" si="0"/>
        <v>2</v>
      </c>
      <c r="M13" s="121"/>
      <c r="N13" s="121"/>
      <c r="O13" s="114"/>
      <c r="P13" s="113"/>
      <c r="Q13" s="10"/>
      <c r="R13" s="10"/>
      <c r="S13" s="10"/>
      <c r="T13" s="10"/>
      <c r="U13" s="10" t="s">
        <v>32</v>
      </c>
      <c r="V13" s="10" t="s">
        <v>32</v>
      </c>
      <c r="W13" s="10"/>
      <c r="X13" s="10"/>
      <c r="Y13" s="10"/>
      <c r="Z13" s="10"/>
      <c r="AA13" s="10"/>
      <c r="AB13" s="10"/>
      <c r="AC13" s="10"/>
      <c r="AD13" s="10"/>
    </row>
    <row r="14" spans="1:30" ht="22" customHeight="1" x14ac:dyDescent="0.2">
      <c r="A14" s="101" t="s">
        <v>61</v>
      </c>
      <c r="B14" s="106" t="s">
        <v>2</v>
      </c>
      <c r="C14" s="102" t="s">
        <v>3</v>
      </c>
      <c r="D14" s="101" t="s">
        <v>62</v>
      </c>
      <c r="E14" s="103" t="s">
        <v>30</v>
      </c>
      <c r="F14" s="104">
        <v>1.7708333333333332E-3</v>
      </c>
      <c r="G14" s="101" t="s">
        <v>31</v>
      </c>
      <c r="H14" s="101"/>
      <c r="I14" s="101"/>
      <c r="J14" s="101" t="s">
        <v>43</v>
      </c>
      <c r="K14" s="109"/>
      <c r="L14" s="123">
        <f t="shared" si="0"/>
        <v>1</v>
      </c>
      <c r="M14" s="120"/>
      <c r="N14" s="120"/>
      <c r="O14" s="115"/>
      <c r="P14" s="112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 t="s">
        <v>32</v>
      </c>
    </row>
    <row r="15" spans="1:30" ht="22" customHeight="1" x14ac:dyDescent="0.2">
      <c r="A15" s="10" t="s">
        <v>63</v>
      </c>
      <c r="B15" s="11" t="s">
        <v>2</v>
      </c>
      <c r="C15" s="11" t="s">
        <v>3</v>
      </c>
      <c r="D15" s="10" t="s">
        <v>64</v>
      </c>
      <c r="E15" s="9" t="s">
        <v>30</v>
      </c>
      <c r="F15" s="56">
        <v>2.7893518518518519E-3</v>
      </c>
      <c r="G15" s="10" t="s">
        <v>31</v>
      </c>
      <c r="H15" s="10"/>
      <c r="I15" s="10" t="s">
        <v>32</v>
      </c>
      <c r="J15" s="10" t="s">
        <v>43</v>
      </c>
      <c r="K15" s="110"/>
      <c r="L15" s="122">
        <f t="shared" si="0"/>
        <v>14</v>
      </c>
      <c r="M15" s="121" t="s">
        <v>32</v>
      </c>
      <c r="N15" s="121" t="s">
        <v>32</v>
      </c>
      <c r="O15" s="116" t="s">
        <v>32</v>
      </c>
      <c r="P15" s="113" t="s">
        <v>32</v>
      </c>
      <c r="Q15" s="10"/>
      <c r="R15" s="10" t="s">
        <v>32</v>
      </c>
      <c r="S15" s="10"/>
      <c r="T15" s="10" t="s">
        <v>32</v>
      </c>
      <c r="U15" s="10" t="s">
        <v>32</v>
      </c>
      <c r="V15" s="10" t="s">
        <v>32</v>
      </c>
      <c r="W15" s="10" t="s">
        <v>32</v>
      </c>
      <c r="X15" s="10"/>
      <c r="Y15" s="10" t="s">
        <v>32</v>
      </c>
      <c r="Z15" s="10" t="s">
        <v>32</v>
      </c>
      <c r="AA15" s="10" t="s">
        <v>32</v>
      </c>
      <c r="AB15" s="10" t="s">
        <v>32</v>
      </c>
      <c r="AC15" s="10" t="s">
        <v>32</v>
      </c>
      <c r="AD15" s="10"/>
    </row>
    <row r="16" spans="1:30" ht="22" customHeight="1" x14ac:dyDescent="0.2">
      <c r="A16" s="101" t="s">
        <v>65</v>
      </c>
      <c r="B16" s="102" t="s">
        <v>2</v>
      </c>
      <c r="C16" s="102" t="s">
        <v>3</v>
      </c>
      <c r="D16" s="101" t="s">
        <v>66</v>
      </c>
      <c r="E16" s="103" t="s">
        <v>30</v>
      </c>
      <c r="F16" s="104">
        <v>2.488425925925926E-3</v>
      </c>
      <c r="G16" s="101" t="s">
        <v>36</v>
      </c>
      <c r="H16" s="101"/>
      <c r="I16" s="101" t="s">
        <v>32</v>
      </c>
      <c r="J16" s="101" t="s">
        <v>37</v>
      </c>
      <c r="K16" s="109"/>
      <c r="L16" s="123">
        <f t="shared" si="0"/>
        <v>8</v>
      </c>
      <c r="M16" s="120" t="s">
        <v>32</v>
      </c>
      <c r="N16" s="120"/>
      <c r="O16" s="115"/>
      <c r="P16" s="112"/>
      <c r="Q16" s="101"/>
      <c r="R16" s="101" t="s">
        <v>32</v>
      </c>
      <c r="S16" s="101"/>
      <c r="T16" s="101"/>
      <c r="U16" s="101" t="s">
        <v>32</v>
      </c>
      <c r="V16" s="101"/>
      <c r="W16" s="101"/>
      <c r="X16" s="101"/>
      <c r="Y16" s="101" t="s">
        <v>32</v>
      </c>
      <c r="Z16" s="101" t="s">
        <v>32</v>
      </c>
      <c r="AA16" s="101" t="s">
        <v>32</v>
      </c>
      <c r="AB16" s="101" t="s">
        <v>32</v>
      </c>
      <c r="AC16" s="101"/>
      <c r="AD16" s="101" t="s">
        <v>32</v>
      </c>
    </row>
    <row r="17" spans="1:30" ht="22" customHeight="1" x14ac:dyDescent="0.2">
      <c r="A17" s="10" t="s">
        <v>67</v>
      </c>
      <c r="B17" s="11" t="s">
        <v>2</v>
      </c>
      <c r="C17" s="11" t="s">
        <v>3</v>
      </c>
      <c r="D17" s="10" t="s">
        <v>68</v>
      </c>
      <c r="E17" s="9" t="s">
        <v>59</v>
      </c>
      <c r="F17" s="56">
        <v>1.9328703703703704E-3</v>
      </c>
      <c r="G17" s="10" t="s">
        <v>39</v>
      </c>
      <c r="H17" s="10"/>
      <c r="I17" s="10" t="s">
        <v>32</v>
      </c>
      <c r="J17" s="10" t="s">
        <v>69</v>
      </c>
      <c r="K17" s="110"/>
      <c r="L17" s="122">
        <f t="shared" si="0"/>
        <v>1</v>
      </c>
      <c r="M17" s="121"/>
      <c r="N17" s="121"/>
      <c r="O17" s="114"/>
      <c r="P17" s="113"/>
      <c r="Q17" s="10"/>
      <c r="R17" s="10" t="s">
        <v>32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ht="22" customHeight="1" x14ac:dyDescent="0.2">
      <c r="A18" s="101" t="s">
        <v>70</v>
      </c>
      <c r="B18" s="102" t="s">
        <v>2</v>
      </c>
      <c r="C18" s="102" t="s">
        <v>3</v>
      </c>
      <c r="D18" s="101" t="s">
        <v>71</v>
      </c>
      <c r="E18" s="103" t="s">
        <v>30</v>
      </c>
      <c r="F18" s="104">
        <v>2.4305555555555556E-3</v>
      </c>
      <c r="G18" s="101" t="s">
        <v>31</v>
      </c>
      <c r="H18" s="101"/>
      <c r="I18" s="101" t="s">
        <v>32</v>
      </c>
      <c r="J18" s="101" t="s">
        <v>69</v>
      </c>
      <c r="K18" s="109"/>
      <c r="L18" s="123">
        <f t="shared" si="0"/>
        <v>9</v>
      </c>
      <c r="M18" s="120" t="s">
        <v>32</v>
      </c>
      <c r="N18" s="120" t="s">
        <v>32</v>
      </c>
      <c r="O18" s="117" t="s">
        <v>32</v>
      </c>
      <c r="P18" s="112" t="s">
        <v>32</v>
      </c>
      <c r="Q18" s="101"/>
      <c r="R18" s="101" t="s">
        <v>32</v>
      </c>
      <c r="S18" s="101" t="s">
        <v>32</v>
      </c>
      <c r="T18" s="101" t="s">
        <v>32</v>
      </c>
      <c r="U18" s="101" t="s">
        <v>32</v>
      </c>
      <c r="V18" s="101" t="s">
        <v>32</v>
      </c>
      <c r="W18" s="101"/>
      <c r="X18" s="101"/>
      <c r="Y18" s="101"/>
      <c r="Z18" s="101"/>
      <c r="AA18" s="101"/>
      <c r="AB18" s="101"/>
      <c r="AC18" s="101"/>
      <c r="AD18" s="101"/>
    </row>
    <row r="19" spans="1:30" ht="22" customHeight="1" x14ac:dyDescent="0.2">
      <c r="A19" s="10" t="s">
        <v>72</v>
      </c>
      <c r="B19" s="11" t="s">
        <v>2</v>
      </c>
      <c r="C19" s="11" t="s">
        <v>3</v>
      </c>
      <c r="D19" s="10" t="s">
        <v>73</v>
      </c>
      <c r="E19" s="9" t="s">
        <v>30</v>
      </c>
      <c r="F19" s="56">
        <v>2.6041666666666665E-3</v>
      </c>
      <c r="G19" s="10" t="s">
        <v>36</v>
      </c>
      <c r="H19" s="10"/>
      <c r="I19" s="10" t="s">
        <v>32</v>
      </c>
      <c r="J19" s="10" t="s">
        <v>56</v>
      </c>
      <c r="K19" s="110"/>
      <c r="L19" s="122">
        <f t="shared" si="0"/>
        <v>6</v>
      </c>
      <c r="M19" s="121" t="s">
        <v>32</v>
      </c>
      <c r="N19" s="121" t="s">
        <v>32</v>
      </c>
      <c r="O19" s="116" t="s">
        <v>32</v>
      </c>
      <c r="P19" s="113" t="s">
        <v>32</v>
      </c>
      <c r="Q19" s="10" t="s">
        <v>32</v>
      </c>
      <c r="R19" s="10" t="s">
        <v>32</v>
      </c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spans="1:30" ht="22" customHeight="1" x14ac:dyDescent="0.2">
      <c r="A20" s="101" t="s">
        <v>74</v>
      </c>
      <c r="B20" s="102" t="s">
        <v>2</v>
      </c>
      <c r="C20" s="102" t="s">
        <v>3</v>
      </c>
      <c r="D20" s="101" t="s">
        <v>75</v>
      </c>
      <c r="E20" s="103" t="s">
        <v>30</v>
      </c>
      <c r="F20" s="104">
        <v>4.6874999999999998E-3</v>
      </c>
      <c r="G20" s="101" t="s">
        <v>39</v>
      </c>
      <c r="H20" s="101"/>
      <c r="I20" s="101" t="s">
        <v>32</v>
      </c>
      <c r="J20" s="101" t="s">
        <v>33</v>
      </c>
      <c r="K20" s="109"/>
      <c r="L20" s="123">
        <f t="shared" si="0"/>
        <v>9</v>
      </c>
      <c r="M20" s="120" t="s">
        <v>32</v>
      </c>
      <c r="N20" s="120"/>
      <c r="O20" s="115"/>
      <c r="P20" s="112"/>
      <c r="Q20" s="101"/>
      <c r="R20" s="101" t="s">
        <v>32</v>
      </c>
      <c r="S20" s="101"/>
      <c r="T20" s="101"/>
      <c r="U20" s="101" t="s">
        <v>32</v>
      </c>
      <c r="V20" s="101" t="s">
        <v>32</v>
      </c>
      <c r="W20" s="101"/>
      <c r="X20" s="101"/>
      <c r="Y20" s="101" t="s">
        <v>32</v>
      </c>
      <c r="Z20" s="101" t="s">
        <v>32</v>
      </c>
      <c r="AA20" s="101" t="s">
        <v>32</v>
      </c>
      <c r="AB20" s="101"/>
      <c r="AC20" s="101" t="s">
        <v>32</v>
      </c>
      <c r="AD20" s="101" t="s">
        <v>32</v>
      </c>
    </row>
    <row r="21" spans="1:30" ht="22" customHeight="1" x14ac:dyDescent="0.2">
      <c r="A21" s="10" t="s">
        <v>76</v>
      </c>
      <c r="B21" s="11" t="s">
        <v>2</v>
      </c>
      <c r="C21" s="11" t="s">
        <v>3</v>
      </c>
      <c r="D21" s="10" t="s">
        <v>77</v>
      </c>
      <c r="E21" s="9" t="s">
        <v>30</v>
      </c>
      <c r="F21" s="56">
        <v>2.5115740740740741E-3</v>
      </c>
      <c r="G21" s="10" t="s">
        <v>31</v>
      </c>
      <c r="H21" s="10"/>
      <c r="I21" s="10"/>
      <c r="J21" s="10" t="s">
        <v>43</v>
      </c>
      <c r="K21" s="110"/>
      <c r="L21" s="122">
        <f t="shared" si="0"/>
        <v>1</v>
      </c>
      <c r="M21" s="121"/>
      <c r="N21" s="121"/>
      <c r="O21" s="114"/>
      <c r="P21" s="113"/>
      <c r="Q21" s="10"/>
      <c r="R21" s="10"/>
      <c r="S21" s="10"/>
      <c r="T21" s="10"/>
      <c r="U21" s="10"/>
      <c r="V21" s="10"/>
      <c r="W21" s="10"/>
      <c r="X21" s="10"/>
      <c r="Y21" s="10" t="s">
        <v>32</v>
      </c>
      <c r="Z21" s="10"/>
      <c r="AA21" s="10"/>
      <c r="AB21" s="10"/>
      <c r="AC21" s="10"/>
      <c r="AD21" s="10"/>
    </row>
    <row r="22" spans="1:30" ht="22" customHeight="1" x14ac:dyDescent="0.2">
      <c r="A22" s="101" t="s">
        <v>78</v>
      </c>
      <c r="B22" s="102" t="s">
        <v>2</v>
      </c>
      <c r="C22" s="102" t="s">
        <v>3</v>
      </c>
      <c r="D22" s="101" t="s">
        <v>79</v>
      </c>
      <c r="E22" s="103" t="s">
        <v>30</v>
      </c>
      <c r="F22" s="104">
        <v>2.5810185185185185E-3</v>
      </c>
      <c r="G22" s="101" t="s">
        <v>39</v>
      </c>
      <c r="H22" s="101"/>
      <c r="I22" s="101" t="s">
        <v>32</v>
      </c>
      <c r="J22" s="101" t="s">
        <v>56</v>
      </c>
      <c r="K22" s="109"/>
      <c r="L22" s="123">
        <f t="shared" si="0"/>
        <v>17</v>
      </c>
      <c r="M22" s="120" t="s">
        <v>32</v>
      </c>
      <c r="N22" s="120" t="s">
        <v>32</v>
      </c>
      <c r="O22" s="117" t="s">
        <v>32</v>
      </c>
      <c r="P22" s="112" t="s">
        <v>32</v>
      </c>
      <c r="Q22" s="101" t="s">
        <v>32</v>
      </c>
      <c r="R22" s="101" t="s">
        <v>32</v>
      </c>
      <c r="S22" s="101"/>
      <c r="T22" s="101" t="s">
        <v>32</v>
      </c>
      <c r="U22" s="101" t="s">
        <v>32</v>
      </c>
      <c r="V22" s="101" t="s">
        <v>32</v>
      </c>
      <c r="W22" s="101" t="s">
        <v>32</v>
      </c>
      <c r="X22" s="101" t="s">
        <v>32</v>
      </c>
      <c r="Y22" s="101" t="s">
        <v>32</v>
      </c>
      <c r="Z22" s="101" t="s">
        <v>32</v>
      </c>
      <c r="AA22" s="101" t="s">
        <v>32</v>
      </c>
      <c r="AB22" s="101" t="s">
        <v>32</v>
      </c>
      <c r="AC22" s="101" t="s">
        <v>32</v>
      </c>
      <c r="AD22" s="101" t="s">
        <v>32</v>
      </c>
    </row>
    <row r="23" spans="1:30" ht="22" customHeight="1" x14ac:dyDescent="0.2">
      <c r="A23" s="10" t="s">
        <v>80</v>
      </c>
      <c r="B23" s="39" t="s">
        <v>2</v>
      </c>
      <c r="C23" s="11" t="s">
        <v>3</v>
      </c>
      <c r="D23" s="10" t="s">
        <v>81</v>
      </c>
      <c r="E23" s="9" t="s">
        <v>30</v>
      </c>
      <c r="F23" s="56">
        <v>2.6041666666666665E-3</v>
      </c>
      <c r="G23" s="10" t="s">
        <v>39</v>
      </c>
      <c r="H23" s="10"/>
      <c r="I23" s="10" t="s">
        <v>32</v>
      </c>
      <c r="J23" s="10" t="s">
        <v>33</v>
      </c>
      <c r="K23" s="110"/>
      <c r="L23" s="122">
        <f t="shared" si="0"/>
        <v>8</v>
      </c>
      <c r="M23" s="121"/>
      <c r="N23" s="121"/>
      <c r="O23" s="114"/>
      <c r="P23" s="113"/>
      <c r="Q23" s="10"/>
      <c r="R23" s="10" t="s">
        <v>32</v>
      </c>
      <c r="S23" s="10"/>
      <c r="T23" s="10" t="s">
        <v>32</v>
      </c>
      <c r="U23" s="10" t="s">
        <v>32</v>
      </c>
      <c r="V23" s="10" t="s">
        <v>32</v>
      </c>
      <c r="W23" s="10" t="s">
        <v>32</v>
      </c>
      <c r="X23" s="10" t="s">
        <v>32</v>
      </c>
      <c r="Y23" s="10" t="s">
        <v>32</v>
      </c>
      <c r="Z23" s="10" t="s">
        <v>32</v>
      </c>
      <c r="AA23" s="10"/>
      <c r="AB23" s="10"/>
      <c r="AC23" s="10"/>
      <c r="AD23" s="10"/>
    </row>
    <row r="24" spans="1:30" ht="22" customHeight="1" x14ac:dyDescent="0.2">
      <c r="A24" s="101" t="s">
        <v>82</v>
      </c>
      <c r="B24" s="102" t="s">
        <v>2</v>
      </c>
      <c r="C24" s="107"/>
      <c r="D24" s="101" t="s">
        <v>83</v>
      </c>
      <c r="E24" s="103" t="s">
        <v>30</v>
      </c>
      <c r="F24" s="104">
        <v>3.8541666666666668E-3</v>
      </c>
      <c r="G24" s="101" t="s">
        <v>36</v>
      </c>
      <c r="H24" s="101"/>
      <c r="I24" s="101" t="s">
        <v>32</v>
      </c>
      <c r="J24" s="101" t="s">
        <v>84</v>
      </c>
      <c r="K24" s="109"/>
      <c r="L24" s="123">
        <f t="shared" si="0"/>
        <v>8</v>
      </c>
      <c r="M24" s="120"/>
      <c r="N24" s="120"/>
      <c r="O24" s="117" t="s">
        <v>32</v>
      </c>
      <c r="P24" s="112"/>
      <c r="Q24" s="101"/>
      <c r="R24" s="101" t="s">
        <v>32</v>
      </c>
      <c r="S24" s="101"/>
      <c r="T24" s="101"/>
      <c r="U24" s="101" t="s">
        <v>32</v>
      </c>
      <c r="V24" s="101" t="s">
        <v>32</v>
      </c>
      <c r="W24" s="101"/>
      <c r="X24" s="101" t="s">
        <v>32</v>
      </c>
      <c r="Y24" s="101" t="s">
        <v>32</v>
      </c>
      <c r="Z24" s="101" t="s">
        <v>32</v>
      </c>
      <c r="AA24" s="101"/>
      <c r="AB24" s="101" t="s">
        <v>32</v>
      </c>
      <c r="AC24" s="101"/>
      <c r="AD24" s="101"/>
    </row>
    <row r="25" spans="1:30" ht="22" customHeight="1" x14ac:dyDescent="0.2">
      <c r="A25" s="10" t="s">
        <v>85</v>
      </c>
      <c r="B25" s="11" t="s">
        <v>2</v>
      </c>
      <c r="C25" s="11" t="s">
        <v>3</v>
      </c>
      <c r="D25" s="10" t="s">
        <v>86</v>
      </c>
      <c r="E25" s="9" t="s">
        <v>30</v>
      </c>
      <c r="F25" s="56">
        <v>1.9791666666666668E-3</v>
      </c>
      <c r="G25" s="10" t="s">
        <v>48</v>
      </c>
      <c r="H25" s="9" t="s">
        <v>32</v>
      </c>
      <c r="I25" s="10" t="s">
        <v>32</v>
      </c>
      <c r="J25" s="10" t="s">
        <v>37</v>
      </c>
      <c r="K25" s="110"/>
      <c r="L25" s="122">
        <f t="shared" si="0"/>
        <v>10</v>
      </c>
      <c r="M25" s="121" t="s">
        <v>32</v>
      </c>
      <c r="N25" s="121"/>
      <c r="O25" s="114"/>
      <c r="P25" s="8"/>
      <c r="Q25" s="10" t="s">
        <v>32</v>
      </c>
      <c r="R25" s="10" t="s">
        <v>32</v>
      </c>
      <c r="S25" s="10"/>
      <c r="T25" s="10"/>
      <c r="U25" s="10" t="s">
        <v>32</v>
      </c>
      <c r="V25" s="10" t="s">
        <v>32</v>
      </c>
      <c r="W25" s="10"/>
      <c r="X25" s="10" t="s">
        <v>32</v>
      </c>
      <c r="Y25" s="10" t="s">
        <v>32</v>
      </c>
      <c r="Z25" s="10" t="s">
        <v>32</v>
      </c>
      <c r="AA25" s="10" t="s">
        <v>32</v>
      </c>
      <c r="AB25" s="10" t="s">
        <v>32</v>
      </c>
      <c r="AC25" s="10"/>
      <c r="AD25" s="10"/>
    </row>
    <row r="26" spans="1:30" ht="22" customHeight="1" x14ac:dyDescent="0.2">
      <c r="A26" s="101" t="s">
        <v>87</v>
      </c>
      <c r="B26" s="102" t="s">
        <v>2</v>
      </c>
      <c r="C26" s="102" t="s">
        <v>3</v>
      </c>
      <c r="D26" s="101" t="s">
        <v>88</v>
      </c>
      <c r="E26" s="103" t="s">
        <v>30</v>
      </c>
      <c r="F26" s="104">
        <v>2.650462962962963E-3</v>
      </c>
      <c r="G26" s="101" t="s">
        <v>31</v>
      </c>
      <c r="H26" s="101"/>
      <c r="I26" s="101" t="s">
        <v>32</v>
      </c>
      <c r="J26" s="101" t="s">
        <v>33</v>
      </c>
      <c r="K26" s="109"/>
      <c r="L26" s="123">
        <f t="shared" si="0"/>
        <v>1</v>
      </c>
      <c r="M26" s="120" t="s">
        <v>32</v>
      </c>
      <c r="N26" s="120"/>
      <c r="O26" s="11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</row>
    <row r="27" spans="1:30" ht="22" customHeight="1" x14ac:dyDescent="0.2">
      <c r="A27" s="10" t="s">
        <v>89</v>
      </c>
      <c r="B27" s="11" t="s">
        <v>2</v>
      </c>
      <c r="C27" s="11" t="s">
        <v>3</v>
      </c>
      <c r="D27" s="10" t="s">
        <v>51</v>
      </c>
      <c r="E27" s="9" t="s">
        <v>30</v>
      </c>
      <c r="F27" s="56">
        <v>3.0439814814814813E-3</v>
      </c>
      <c r="G27" s="10" t="s">
        <v>48</v>
      </c>
      <c r="H27" s="9" t="s">
        <v>32</v>
      </c>
      <c r="I27" s="10" t="s">
        <v>32</v>
      </c>
      <c r="J27" s="10" t="s">
        <v>40</v>
      </c>
      <c r="K27" s="110"/>
      <c r="L27" s="122">
        <f t="shared" si="0"/>
        <v>2</v>
      </c>
      <c r="M27" s="121" t="s">
        <v>32</v>
      </c>
      <c r="N27" s="121"/>
      <c r="O27" s="116"/>
      <c r="P27" s="113"/>
      <c r="Q27" s="10"/>
      <c r="R27" s="10" t="s">
        <v>32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ht="22" customHeight="1" x14ac:dyDescent="0.2">
      <c r="A28" s="101" t="s">
        <v>90</v>
      </c>
      <c r="B28" s="102" t="s">
        <v>2</v>
      </c>
      <c r="C28" s="102" t="s">
        <v>3</v>
      </c>
      <c r="D28" s="101" t="s">
        <v>91</v>
      </c>
      <c r="E28" s="103" t="s">
        <v>30</v>
      </c>
      <c r="F28" s="104">
        <v>2.8587962962962963E-3</v>
      </c>
      <c r="G28" s="101" t="s">
        <v>36</v>
      </c>
      <c r="H28" s="101"/>
      <c r="I28" s="101" t="s">
        <v>32</v>
      </c>
      <c r="J28" s="101" t="s">
        <v>56</v>
      </c>
      <c r="K28" s="109"/>
      <c r="L28" s="123">
        <f t="shared" si="0"/>
        <v>6</v>
      </c>
      <c r="M28" s="120" t="s">
        <v>32</v>
      </c>
      <c r="N28" s="120" t="s">
        <v>32</v>
      </c>
      <c r="O28" s="117" t="s">
        <v>32</v>
      </c>
      <c r="P28" s="112" t="s">
        <v>32</v>
      </c>
      <c r="Q28" s="101"/>
      <c r="R28" s="101" t="s">
        <v>32</v>
      </c>
      <c r="S28" s="101" t="s">
        <v>32</v>
      </c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</row>
    <row r="29" spans="1:30" ht="22" customHeight="1" x14ac:dyDescent="0.2">
      <c r="A29" s="10" t="s">
        <v>92</v>
      </c>
      <c r="B29" s="11" t="s">
        <v>2</v>
      </c>
      <c r="C29" s="11" t="s">
        <v>3</v>
      </c>
      <c r="D29" s="10" t="s">
        <v>93</v>
      </c>
      <c r="E29" s="9" t="s">
        <v>30</v>
      </c>
      <c r="F29" s="56">
        <v>2.0486111111111113E-3</v>
      </c>
      <c r="G29" s="10" t="s">
        <v>36</v>
      </c>
      <c r="H29" s="10"/>
      <c r="I29" s="10" t="s">
        <v>32</v>
      </c>
      <c r="J29" s="10" t="s">
        <v>33</v>
      </c>
      <c r="K29" s="110"/>
      <c r="L29" s="122">
        <f t="shared" si="0"/>
        <v>12</v>
      </c>
      <c r="M29" s="121" t="s">
        <v>32</v>
      </c>
      <c r="N29" s="121"/>
      <c r="O29" s="114"/>
      <c r="P29" s="113"/>
      <c r="Q29" s="10"/>
      <c r="R29" s="10" t="s">
        <v>32</v>
      </c>
      <c r="S29" s="10" t="s">
        <v>32</v>
      </c>
      <c r="T29" s="10"/>
      <c r="U29" s="10" t="s">
        <v>32</v>
      </c>
      <c r="V29" s="10" t="s">
        <v>32</v>
      </c>
      <c r="W29" s="10" t="s">
        <v>32</v>
      </c>
      <c r="X29" s="10" t="s">
        <v>32</v>
      </c>
      <c r="Y29" s="10" t="s">
        <v>32</v>
      </c>
      <c r="Z29" s="10" t="s">
        <v>32</v>
      </c>
      <c r="AA29" s="10" t="s">
        <v>32</v>
      </c>
      <c r="AB29" s="10" t="s">
        <v>32</v>
      </c>
      <c r="AC29" s="10" t="s">
        <v>32</v>
      </c>
      <c r="AD29" s="10"/>
    </row>
    <row r="30" spans="1:30" ht="22" customHeight="1" x14ac:dyDescent="0.2">
      <c r="A30" s="101" t="s">
        <v>94</v>
      </c>
      <c r="B30" s="102" t="s">
        <v>2</v>
      </c>
      <c r="C30" s="102" t="s">
        <v>3</v>
      </c>
      <c r="D30" s="101" t="s">
        <v>95</v>
      </c>
      <c r="E30" s="103" t="s">
        <v>30</v>
      </c>
      <c r="F30" s="104">
        <v>3.5995370370370369E-3</v>
      </c>
      <c r="G30" s="101" t="s">
        <v>39</v>
      </c>
      <c r="H30" s="101"/>
      <c r="I30" s="101" t="s">
        <v>32</v>
      </c>
      <c r="J30" s="101" t="s">
        <v>33</v>
      </c>
      <c r="K30" s="109"/>
      <c r="L30" s="123">
        <f t="shared" si="0"/>
        <v>16</v>
      </c>
      <c r="M30" s="120" t="s">
        <v>32</v>
      </c>
      <c r="N30" s="120" t="s">
        <v>32</v>
      </c>
      <c r="O30" s="117" t="s">
        <v>32</v>
      </c>
      <c r="P30" s="112" t="s">
        <v>32</v>
      </c>
      <c r="Q30" s="101" t="s">
        <v>32</v>
      </c>
      <c r="R30" s="101" t="s">
        <v>32</v>
      </c>
      <c r="S30" s="101" t="s">
        <v>32</v>
      </c>
      <c r="T30" s="101" t="s">
        <v>32</v>
      </c>
      <c r="U30" s="101" t="s">
        <v>32</v>
      </c>
      <c r="V30" s="101" t="s">
        <v>32</v>
      </c>
      <c r="W30" s="101" t="s">
        <v>32</v>
      </c>
      <c r="X30" s="101" t="s">
        <v>32</v>
      </c>
      <c r="Y30" s="101" t="s">
        <v>32</v>
      </c>
      <c r="Z30" s="101" t="s">
        <v>32</v>
      </c>
      <c r="AA30" s="101" t="s">
        <v>32</v>
      </c>
      <c r="AB30" s="101" t="s">
        <v>32</v>
      </c>
      <c r="AC30" s="101"/>
      <c r="AD30" s="101"/>
    </row>
    <row r="31" spans="1:30" ht="22" customHeight="1" x14ac:dyDescent="0.2">
      <c r="A31" s="10" t="s">
        <v>96</v>
      </c>
      <c r="B31" s="11" t="s">
        <v>2</v>
      </c>
      <c r="C31" s="11" t="s">
        <v>3</v>
      </c>
      <c r="D31" s="10" t="s">
        <v>42</v>
      </c>
      <c r="E31" s="9" t="s">
        <v>30</v>
      </c>
      <c r="F31" s="56">
        <v>1.9675925925925924E-3</v>
      </c>
      <c r="G31" s="10" t="s">
        <v>48</v>
      </c>
      <c r="H31" s="9" t="s">
        <v>32</v>
      </c>
      <c r="I31" s="10"/>
      <c r="J31" s="10" t="s">
        <v>43</v>
      </c>
      <c r="K31" s="110"/>
      <c r="L31" s="122">
        <f t="shared" si="0"/>
        <v>2</v>
      </c>
      <c r="M31" s="121"/>
      <c r="N31" s="121"/>
      <c r="O31" s="114"/>
      <c r="P31" s="113"/>
      <c r="Q31" s="10"/>
      <c r="R31" s="10"/>
      <c r="S31" s="10"/>
      <c r="T31" s="10"/>
      <c r="U31" s="10"/>
      <c r="V31" s="10"/>
      <c r="W31" s="10"/>
      <c r="X31" s="10"/>
      <c r="Y31" s="10" t="s">
        <v>32</v>
      </c>
      <c r="Z31" s="10"/>
      <c r="AA31" s="10"/>
      <c r="AB31" s="10"/>
      <c r="AC31" s="10"/>
      <c r="AD31" s="10" t="s">
        <v>32</v>
      </c>
    </row>
    <row r="32" spans="1:30" ht="22" customHeight="1" x14ac:dyDescent="0.2">
      <c r="A32" s="101" t="s">
        <v>97</v>
      </c>
      <c r="B32" s="102" t="s">
        <v>2</v>
      </c>
      <c r="C32" s="102" t="s">
        <v>3</v>
      </c>
      <c r="D32" s="101" t="s">
        <v>98</v>
      </c>
      <c r="E32" s="103" t="s">
        <v>30</v>
      </c>
      <c r="F32" s="104">
        <v>3.2291666666666666E-3</v>
      </c>
      <c r="G32" s="101" t="s">
        <v>31</v>
      </c>
      <c r="H32" s="101"/>
      <c r="I32" s="101" t="s">
        <v>32</v>
      </c>
      <c r="J32" s="101" t="s">
        <v>33</v>
      </c>
      <c r="K32" s="109"/>
      <c r="L32" s="123">
        <f t="shared" si="0"/>
        <v>7</v>
      </c>
      <c r="M32" s="120" t="s">
        <v>32</v>
      </c>
      <c r="N32" s="120"/>
      <c r="O32" s="115"/>
      <c r="P32" s="112"/>
      <c r="Q32" s="101"/>
      <c r="R32" s="101" t="s">
        <v>32</v>
      </c>
      <c r="S32" s="101"/>
      <c r="T32" s="101"/>
      <c r="U32" s="101" t="s">
        <v>32</v>
      </c>
      <c r="V32" s="101"/>
      <c r="W32" s="101"/>
      <c r="X32" s="101"/>
      <c r="Y32" s="101" t="s">
        <v>32</v>
      </c>
      <c r="Z32" s="101" t="s">
        <v>32</v>
      </c>
      <c r="AA32" s="101" t="s">
        <v>32</v>
      </c>
      <c r="AB32" s="101" t="s">
        <v>32</v>
      </c>
      <c r="AC32" s="101"/>
      <c r="AD32" s="101"/>
    </row>
    <row r="33" spans="1:30" ht="22" customHeight="1" x14ac:dyDescent="0.2">
      <c r="A33" s="10" t="s">
        <v>99</v>
      </c>
      <c r="B33" s="11" t="s">
        <v>2</v>
      </c>
      <c r="C33" s="11" t="s">
        <v>3</v>
      </c>
      <c r="D33" s="10" t="s">
        <v>100</v>
      </c>
      <c r="E33" s="9" t="s">
        <v>59</v>
      </c>
      <c r="F33" s="56">
        <v>2.9513888888888888E-3</v>
      </c>
      <c r="G33" s="10" t="s">
        <v>39</v>
      </c>
      <c r="H33" s="10"/>
      <c r="I33" s="10" t="s">
        <v>32</v>
      </c>
      <c r="J33" s="10" t="s">
        <v>69</v>
      </c>
      <c r="K33" s="110"/>
      <c r="L33" s="122">
        <f t="shared" si="0"/>
        <v>13</v>
      </c>
      <c r="M33" s="121" t="s">
        <v>32</v>
      </c>
      <c r="N33" s="121" t="s">
        <v>32</v>
      </c>
      <c r="O33" s="116" t="s">
        <v>32</v>
      </c>
      <c r="P33" s="113" t="s">
        <v>32</v>
      </c>
      <c r="Q33" s="10" t="s">
        <v>32</v>
      </c>
      <c r="R33" s="10" t="s">
        <v>32</v>
      </c>
      <c r="S33" s="10" t="s">
        <v>32</v>
      </c>
      <c r="T33" s="10" t="s">
        <v>32</v>
      </c>
      <c r="U33" s="10" t="s">
        <v>32</v>
      </c>
      <c r="V33" s="10" t="s">
        <v>32</v>
      </c>
      <c r="W33" s="10" t="s">
        <v>32</v>
      </c>
      <c r="X33" s="10" t="s">
        <v>32</v>
      </c>
      <c r="Y33" s="10" t="s">
        <v>32</v>
      </c>
      <c r="Z33" s="10"/>
      <c r="AA33" s="10"/>
      <c r="AB33" s="10"/>
      <c r="AC33" s="10"/>
      <c r="AD33" s="10"/>
    </row>
    <row r="34" spans="1:30" ht="22" customHeight="1" x14ac:dyDescent="0.2">
      <c r="A34" s="101" t="s">
        <v>101</v>
      </c>
      <c r="B34" s="102" t="s">
        <v>2</v>
      </c>
      <c r="C34" s="102" t="s">
        <v>3</v>
      </c>
      <c r="D34" s="101" t="s">
        <v>102</v>
      </c>
      <c r="E34" s="103" t="s">
        <v>30</v>
      </c>
      <c r="F34" s="104">
        <v>4.1319444444444442E-3</v>
      </c>
      <c r="G34" s="101" t="s">
        <v>31</v>
      </c>
      <c r="H34" s="101"/>
      <c r="I34" s="101"/>
      <c r="J34" s="101" t="s">
        <v>33</v>
      </c>
      <c r="K34" s="109"/>
      <c r="L34" s="123">
        <f t="shared" si="0"/>
        <v>8</v>
      </c>
      <c r="M34" s="120"/>
      <c r="N34" s="120"/>
      <c r="O34" s="115"/>
      <c r="P34" s="112"/>
      <c r="Q34" s="101"/>
      <c r="R34" s="101" t="s">
        <v>32</v>
      </c>
      <c r="S34" s="101"/>
      <c r="T34" s="101" t="s">
        <v>32</v>
      </c>
      <c r="U34" s="101" t="s">
        <v>32</v>
      </c>
      <c r="V34" s="101" t="s">
        <v>32</v>
      </c>
      <c r="W34" s="101"/>
      <c r="X34" s="101"/>
      <c r="Y34" s="101" t="s">
        <v>32</v>
      </c>
      <c r="Z34" s="101" t="s">
        <v>32</v>
      </c>
      <c r="AA34" s="101"/>
      <c r="AB34" s="101" t="s">
        <v>32</v>
      </c>
      <c r="AC34" s="101" t="s">
        <v>32</v>
      </c>
      <c r="AD34" s="101"/>
    </row>
    <row r="35" spans="1:30" ht="22" customHeight="1" x14ac:dyDescent="0.2">
      <c r="A35" s="10" t="s">
        <v>103</v>
      </c>
      <c r="B35" s="11" t="s">
        <v>2</v>
      </c>
      <c r="C35" s="11" t="s">
        <v>3</v>
      </c>
      <c r="D35" s="10" t="s">
        <v>53</v>
      </c>
      <c r="E35" s="9" t="s">
        <v>30</v>
      </c>
      <c r="F35" s="56">
        <v>5.9606481481481481E-3</v>
      </c>
      <c r="G35" s="10" t="s">
        <v>31</v>
      </c>
      <c r="H35" s="10"/>
      <c r="I35" s="10" t="s">
        <v>32</v>
      </c>
      <c r="J35" s="10" t="s">
        <v>56</v>
      </c>
      <c r="K35" s="110"/>
      <c r="L35" s="122">
        <f t="shared" si="0"/>
        <v>9</v>
      </c>
      <c r="M35" s="121" t="s">
        <v>32</v>
      </c>
      <c r="N35" s="121"/>
      <c r="O35" s="114"/>
      <c r="P35" s="113"/>
      <c r="Q35" s="10"/>
      <c r="R35" s="10" t="s">
        <v>32</v>
      </c>
      <c r="S35" s="10"/>
      <c r="T35" s="10"/>
      <c r="U35" s="10" t="s">
        <v>32</v>
      </c>
      <c r="V35" s="10" t="s">
        <v>32</v>
      </c>
      <c r="W35" s="10" t="s">
        <v>32</v>
      </c>
      <c r="X35" s="10"/>
      <c r="Y35" s="10" t="s">
        <v>32</v>
      </c>
      <c r="Z35" s="10" t="s">
        <v>32</v>
      </c>
      <c r="AA35" s="10"/>
      <c r="AB35" s="10" t="s">
        <v>32</v>
      </c>
      <c r="AC35" s="10" t="s">
        <v>32</v>
      </c>
      <c r="AD35" s="10"/>
    </row>
    <row r="36" spans="1:30" ht="22" customHeight="1" x14ac:dyDescent="0.2">
      <c r="A36" s="101" t="s">
        <v>104</v>
      </c>
      <c r="B36" s="102" t="s">
        <v>2</v>
      </c>
      <c r="C36" s="102" t="s">
        <v>3</v>
      </c>
      <c r="D36" s="101" t="s">
        <v>105</v>
      </c>
      <c r="E36" s="103" t="s">
        <v>30</v>
      </c>
      <c r="F36" s="104">
        <v>2.4305555555555556E-3</v>
      </c>
      <c r="G36" s="101" t="s">
        <v>36</v>
      </c>
      <c r="H36" s="101"/>
      <c r="I36" s="101"/>
      <c r="J36" s="101" t="s">
        <v>40</v>
      </c>
      <c r="K36" s="109"/>
      <c r="L36" s="123">
        <f t="shared" si="0"/>
        <v>4</v>
      </c>
      <c r="M36" s="120"/>
      <c r="N36" s="120"/>
      <c r="O36" s="115"/>
      <c r="P36" s="112" t="s">
        <v>32</v>
      </c>
      <c r="Q36" s="101"/>
      <c r="R36" s="101"/>
      <c r="S36" s="101"/>
      <c r="T36" s="101"/>
      <c r="U36" s="101"/>
      <c r="V36" s="101"/>
      <c r="W36" s="101"/>
      <c r="X36" s="101"/>
      <c r="Y36" s="101" t="s">
        <v>32</v>
      </c>
      <c r="Z36" s="101" t="s">
        <v>32</v>
      </c>
      <c r="AA36" s="101"/>
      <c r="AB36" s="101"/>
      <c r="AC36" s="101" t="s">
        <v>32</v>
      </c>
      <c r="AD36" s="101"/>
    </row>
    <row r="37" spans="1:30" ht="22" customHeight="1" x14ac:dyDescent="0.2">
      <c r="A37" s="10" t="s">
        <v>106</v>
      </c>
      <c r="B37" s="11" t="s">
        <v>2</v>
      </c>
      <c r="C37" s="11" t="s">
        <v>3</v>
      </c>
      <c r="D37" s="10" t="s">
        <v>107</v>
      </c>
      <c r="E37" s="9" t="s">
        <v>59</v>
      </c>
      <c r="F37" s="56">
        <v>3.3680555555555556E-3</v>
      </c>
      <c r="G37" s="10" t="s">
        <v>36</v>
      </c>
      <c r="H37" s="10"/>
      <c r="I37" s="10" t="s">
        <v>32</v>
      </c>
      <c r="J37" s="10" t="s">
        <v>56</v>
      </c>
      <c r="K37" s="110"/>
      <c r="L37" s="122">
        <f t="shared" si="0"/>
        <v>10</v>
      </c>
      <c r="M37" s="121" t="s">
        <v>32</v>
      </c>
      <c r="N37" s="121" t="s">
        <v>32</v>
      </c>
      <c r="O37" s="116" t="s">
        <v>32</v>
      </c>
      <c r="P37" s="113" t="s">
        <v>32</v>
      </c>
      <c r="Q37" s="10"/>
      <c r="R37" s="10" t="s">
        <v>32</v>
      </c>
      <c r="S37" s="10" t="s">
        <v>32</v>
      </c>
      <c r="T37" s="10" t="s">
        <v>32</v>
      </c>
      <c r="U37" s="10" t="s">
        <v>32</v>
      </c>
      <c r="V37" s="10" t="s">
        <v>32</v>
      </c>
      <c r="W37" s="10" t="s">
        <v>32</v>
      </c>
      <c r="X37" s="10"/>
      <c r="Y37" s="10"/>
      <c r="Z37" s="10"/>
      <c r="AA37" s="10"/>
      <c r="AB37" s="10"/>
      <c r="AC37" s="10"/>
      <c r="AD37" s="10"/>
    </row>
    <row r="38" spans="1:30" ht="22" customHeight="1" x14ac:dyDescent="0.2">
      <c r="A38" s="101" t="s">
        <v>108</v>
      </c>
      <c r="B38" s="102" t="s">
        <v>2</v>
      </c>
      <c r="C38" s="102" t="s">
        <v>3</v>
      </c>
      <c r="D38" s="101" t="s">
        <v>109</v>
      </c>
      <c r="E38" s="103" t="s">
        <v>30</v>
      </c>
      <c r="F38" s="104">
        <v>2.6041666666666665E-3</v>
      </c>
      <c r="G38" s="101" t="s">
        <v>36</v>
      </c>
      <c r="H38" s="101"/>
      <c r="I38" s="101" t="s">
        <v>32</v>
      </c>
      <c r="J38" s="101" t="s">
        <v>40</v>
      </c>
      <c r="K38" s="109"/>
      <c r="L38" s="123">
        <f t="shared" si="0"/>
        <v>5</v>
      </c>
      <c r="M38" s="120" t="s">
        <v>32</v>
      </c>
      <c r="N38" s="120"/>
      <c r="O38" s="117" t="s">
        <v>32</v>
      </c>
      <c r="P38" s="112" t="s">
        <v>32</v>
      </c>
      <c r="Q38" s="101" t="s">
        <v>32</v>
      </c>
      <c r="R38" s="101" t="s">
        <v>32</v>
      </c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</row>
    <row r="39" spans="1:30" ht="22" customHeight="1" x14ac:dyDescent="0.2">
      <c r="A39" s="10" t="s">
        <v>110</v>
      </c>
      <c r="B39" s="11" t="s">
        <v>2</v>
      </c>
      <c r="C39" s="11" t="s">
        <v>3</v>
      </c>
      <c r="D39" s="10" t="s">
        <v>111</v>
      </c>
      <c r="E39" s="9" t="s">
        <v>30</v>
      </c>
      <c r="F39" s="56">
        <v>3.472222222222222E-3</v>
      </c>
      <c r="G39" s="10" t="s">
        <v>112</v>
      </c>
      <c r="H39" s="10"/>
      <c r="I39" s="10"/>
      <c r="J39" s="10" t="s">
        <v>43</v>
      </c>
      <c r="K39" s="110"/>
      <c r="L39" s="122">
        <f t="shared" si="0"/>
        <v>2</v>
      </c>
      <c r="M39" s="121"/>
      <c r="N39" s="121"/>
      <c r="O39" s="114"/>
      <c r="P39" s="113"/>
      <c r="Q39" s="10"/>
      <c r="R39" s="10"/>
      <c r="S39" s="10"/>
      <c r="T39" s="10"/>
      <c r="U39" s="10"/>
      <c r="V39" s="10"/>
      <c r="W39" s="10"/>
      <c r="X39" s="10"/>
      <c r="Y39" s="10" t="s">
        <v>32</v>
      </c>
      <c r="Z39" s="10" t="s">
        <v>32</v>
      </c>
      <c r="AA39" s="10"/>
      <c r="AB39" s="10"/>
      <c r="AC39" s="10"/>
      <c r="AD39" s="10"/>
    </row>
    <row r="40" spans="1:30" ht="22" customHeight="1" x14ac:dyDescent="0.2">
      <c r="A40" s="101" t="s">
        <v>113</v>
      </c>
      <c r="B40" s="102" t="s">
        <v>2</v>
      </c>
      <c r="C40" s="102" t="s">
        <v>3</v>
      </c>
      <c r="D40" s="101" t="s">
        <v>98</v>
      </c>
      <c r="E40" s="103" t="s">
        <v>30</v>
      </c>
      <c r="F40" s="104">
        <v>2.0023148148148148E-3</v>
      </c>
      <c r="G40" s="101" t="s">
        <v>31</v>
      </c>
      <c r="H40" s="101"/>
      <c r="I40" s="101"/>
      <c r="J40" s="101" t="s">
        <v>33</v>
      </c>
      <c r="K40" s="109"/>
      <c r="L40" s="123">
        <f t="shared" si="0"/>
        <v>1</v>
      </c>
      <c r="M40" s="120"/>
      <c r="N40" s="120"/>
      <c r="O40" s="115"/>
      <c r="P40" s="112"/>
      <c r="Q40" s="101"/>
      <c r="R40" s="101"/>
      <c r="S40" s="101" t="s">
        <v>32</v>
      </c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</row>
    <row r="41" spans="1:30" ht="22" customHeight="1" x14ac:dyDescent="0.2">
      <c r="A41" s="10" t="s">
        <v>114</v>
      </c>
      <c r="B41" s="11" t="s">
        <v>2</v>
      </c>
      <c r="C41" s="11" t="s">
        <v>3</v>
      </c>
      <c r="D41" s="10" t="s">
        <v>115</v>
      </c>
      <c r="E41" s="9" t="s">
        <v>30</v>
      </c>
      <c r="F41" s="56">
        <v>3.460648148148148E-3</v>
      </c>
      <c r="G41" s="10" t="s">
        <v>36</v>
      </c>
      <c r="H41" s="10"/>
      <c r="I41" s="10" t="s">
        <v>32</v>
      </c>
      <c r="J41" s="10" t="s">
        <v>69</v>
      </c>
      <c r="K41" s="110"/>
      <c r="L41" s="122">
        <f t="shared" si="0"/>
        <v>3</v>
      </c>
      <c r="M41" s="121"/>
      <c r="N41" s="121"/>
      <c r="O41" s="114"/>
      <c r="P41" s="113"/>
      <c r="Q41" s="10"/>
      <c r="R41" s="10" t="s">
        <v>32</v>
      </c>
      <c r="S41" s="10"/>
      <c r="T41" s="10"/>
      <c r="U41" s="10" t="s">
        <v>32</v>
      </c>
      <c r="V41" s="10" t="s">
        <v>32</v>
      </c>
      <c r="W41" s="10"/>
      <c r="X41" s="10"/>
      <c r="Y41" s="10"/>
      <c r="Z41" s="10"/>
      <c r="AA41" s="10"/>
      <c r="AB41" s="10"/>
      <c r="AC41" s="10"/>
      <c r="AD41" s="10"/>
    </row>
    <row r="42" spans="1:30" ht="22" customHeight="1" x14ac:dyDescent="0.2">
      <c r="A42" s="101" t="s">
        <v>116</v>
      </c>
      <c r="B42" s="102" t="s">
        <v>2</v>
      </c>
      <c r="C42" s="102" t="s">
        <v>3</v>
      </c>
      <c r="D42" s="101" t="s">
        <v>117</v>
      </c>
      <c r="E42" s="103" t="s">
        <v>30</v>
      </c>
      <c r="F42" s="104">
        <v>2.2569444444444442E-3</v>
      </c>
      <c r="G42" s="101" t="s">
        <v>36</v>
      </c>
      <c r="H42" s="101"/>
      <c r="I42" s="101" t="s">
        <v>32</v>
      </c>
      <c r="J42" s="101" t="s">
        <v>33</v>
      </c>
      <c r="K42" s="109"/>
      <c r="L42" s="123">
        <f t="shared" si="0"/>
        <v>6</v>
      </c>
      <c r="M42" s="120" t="s">
        <v>32</v>
      </c>
      <c r="N42" s="120"/>
      <c r="O42" s="115"/>
      <c r="P42" s="112"/>
      <c r="Q42" s="101"/>
      <c r="R42" s="101" t="s">
        <v>32</v>
      </c>
      <c r="S42" s="101" t="s">
        <v>32</v>
      </c>
      <c r="T42" s="101"/>
      <c r="U42" s="101" t="s">
        <v>32</v>
      </c>
      <c r="V42" s="101" t="s">
        <v>32</v>
      </c>
      <c r="W42" s="101" t="s">
        <v>32</v>
      </c>
      <c r="X42" s="101"/>
      <c r="Y42" s="101"/>
      <c r="Z42" s="101"/>
      <c r="AA42" s="101"/>
      <c r="AB42" s="101"/>
      <c r="AC42" s="101"/>
      <c r="AD42" s="101"/>
    </row>
    <row r="43" spans="1:30" ht="22" customHeight="1" x14ac:dyDescent="0.2">
      <c r="A43" s="10" t="s">
        <v>118</v>
      </c>
      <c r="B43" s="11" t="s">
        <v>2</v>
      </c>
      <c r="C43" s="11" t="s">
        <v>3</v>
      </c>
      <c r="D43" s="10" t="s">
        <v>119</v>
      </c>
      <c r="E43" s="9" t="s">
        <v>30</v>
      </c>
      <c r="F43" s="56">
        <v>3.472222222222222E-3</v>
      </c>
      <c r="G43" s="10" t="s">
        <v>36</v>
      </c>
      <c r="H43" s="10"/>
      <c r="I43" s="10"/>
      <c r="J43" s="10" t="s">
        <v>43</v>
      </c>
      <c r="K43" s="110"/>
      <c r="L43" s="122">
        <f t="shared" si="0"/>
        <v>2</v>
      </c>
      <c r="M43" s="121"/>
      <c r="N43" s="121"/>
      <c r="O43" s="114"/>
      <c r="P43" s="113"/>
      <c r="Q43" s="10"/>
      <c r="R43" s="10" t="s">
        <v>32</v>
      </c>
      <c r="S43" s="10"/>
      <c r="T43" s="10"/>
      <c r="U43" s="10"/>
      <c r="V43" s="10"/>
      <c r="W43" s="10"/>
      <c r="X43" s="10"/>
      <c r="Y43" s="10" t="s">
        <v>32</v>
      </c>
      <c r="Z43" s="10"/>
      <c r="AA43" s="10"/>
      <c r="AB43" s="10"/>
      <c r="AC43" s="10"/>
      <c r="AD43" s="10"/>
    </row>
    <row r="44" spans="1:30" ht="22" customHeight="1" x14ac:dyDescent="0.2">
      <c r="A44" s="101" t="s">
        <v>120</v>
      </c>
      <c r="B44" s="102" t="s">
        <v>2</v>
      </c>
      <c r="C44" s="102" t="s">
        <v>3</v>
      </c>
      <c r="D44" s="101" t="s">
        <v>53</v>
      </c>
      <c r="E44" s="103" t="s">
        <v>30</v>
      </c>
      <c r="F44" s="104">
        <v>2.0833333333333333E-3</v>
      </c>
      <c r="G44" s="101" t="s">
        <v>31</v>
      </c>
      <c r="H44" s="101"/>
      <c r="I44" s="101" t="s">
        <v>32</v>
      </c>
      <c r="J44" s="101" t="s">
        <v>33</v>
      </c>
      <c r="K44" s="109"/>
      <c r="L44" s="123">
        <f t="shared" si="0"/>
        <v>5</v>
      </c>
      <c r="M44" s="120" t="s">
        <v>32</v>
      </c>
      <c r="N44" s="120"/>
      <c r="O44" s="115"/>
      <c r="P44" s="112"/>
      <c r="Q44" s="101"/>
      <c r="R44" s="101"/>
      <c r="S44" s="101" t="s">
        <v>32</v>
      </c>
      <c r="T44" s="101" t="s">
        <v>32</v>
      </c>
      <c r="U44" s="101" t="s">
        <v>32</v>
      </c>
      <c r="V44" s="101"/>
      <c r="W44" s="101" t="s">
        <v>32</v>
      </c>
      <c r="X44" s="101"/>
      <c r="Y44" s="101"/>
      <c r="Z44" s="101"/>
      <c r="AA44" s="101"/>
      <c r="AB44" s="101"/>
      <c r="AC44" s="101"/>
      <c r="AD44" s="101"/>
    </row>
    <row r="45" spans="1:30" ht="22" customHeight="1" x14ac:dyDescent="0.2">
      <c r="A45" s="10" t="s">
        <v>121</v>
      </c>
      <c r="B45" s="11" t="s">
        <v>2</v>
      </c>
      <c r="C45" s="11" t="s">
        <v>3</v>
      </c>
      <c r="D45" s="10" t="s">
        <v>122</v>
      </c>
      <c r="E45" s="9" t="s">
        <v>30</v>
      </c>
      <c r="F45" s="56">
        <v>3.1250000000000002E-3</v>
      </c>
      <c r="G45" s="10" t="s">
        <v>31</v>
      </c>
      <c r="H45" s="10"/>
      <c r="I45" s="10"/>
      <c r="J45" s="10" t="s">
        <v>33</v>
      </c>
      <c r="K45" s="110" t="s">
        <v>32</v>
      </c>
      <c r="L45" s="122">
        <f t="shared" si="0"/>
        <v>0</v>
      </c>
      <c r="M45" s="121"/>
      <c r="N45" s="121"/>
      <c r="O45" s="114"/>
      <c r="P45" s="113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</row>
    <row r="46" spans="1:30" ht="22" customHeight="1" x14ac:dyDescent="0.2">
      <c r="A46" s="101" t="s">
        <v>123</v>
      </c>
      <c r="B46" s="102" t="s">
        <v>2</v>
      </c>
      <c r="C46" s="102" t="s">
        <v>3</v>
      </c>
      <c r="D46" s="101" t="s">
        <v>93</v>
      </c>
      <c r="E46" s="103" t="s">
        <v>30</v>
      </c>
      <c r="F46" s="104">
        <v>3.3217592592592591E-3</v>
      </c>
      <c r="G46" s="101" t="s">
        <v>36</v>
      </c>
      <c r="H46" s="101"/>
      <c r="I46" s="101" t="s">
        <v>32</v>
      </c>
      <c r="J46" s="101" t="s">
        <v>33</v>
      </c>
      <c r="K46" s="109"/>
      <c r="L46" s="123">
        <f t="shared" si="0"/>
        <v>18</v>
      </c>
      <c r="M46" s="120" t="s">
        <v>32</v>
      </c>
      <c r="N46" s="120" t="s">
        <v>32</v>
      </c>
      <c r="O46" s="117" t="s">
        <v>32</v>
      </c>
      <c r="P46" s="112" t="s">
        <v>32</v>
      </c>
      <c r="Q46" s="101" t="s">
        <v>32</v>
      </c>
      <c r="R46" s="101" t="s">
        <v>32</v>
      </c>
      <c r="S46" s="101" t="s">
        <v>32</v>
      </c>
      <c r="T46" s="101" t="s">
        <v>32</v>
      </c>
      <c r="U46" s="101" t="s">
        <v>32</v>
      </c>
      <c r="V46" s="101" t="s">
        <v>32</v>
      </c>
      <c r="W46" s="101" t="s">
        <v>32</v>
      </c>
      <c r="X46" s="101" t="s">
        <v>32</v>
      </c>
      <c r="Y46" s="101" t="s">
        <v>32</v>
      </c>
      <c r="Z46" s="101" t="s">
        <v>32</v>
      </c>
      <c r="AA46" s="101" t="s">
        <v>32</v>
      </c>
      <c r="AB46" s="101" t="s">
        <v>32</v>
      </c>
      <c r="AC46" s="101" t="s">
        <v>32</v>
      </c>
      <c r="AD46" s="101" t="s">
        <v>32</v>
      </c>
    </row>
    <row r="47" spans="1:30" ht="22" customHeight="1" x14ac:dyDescent="0.2">
      <c r="A47" s="10" t="s">
        <v>124</v>
      </c>
      <c r="B47" s="41"/>
      <c r="C47" s="41"/>
      <c r="D47" s="10" t="s">
        <v>125</v>
      </c>
      <c r="E47" s="9" t="s">
        <v>30</v>
      </c>
      <c r="F47" s="56"/>
      <c r="G47" s="10" t="s">
        <v>126</v>
      </c>
      <c r="H47" s="10"/>
      <c r="I47" s="10"/>
      <c r="J47" s="10" t="s">
        <v>33</v>
      </c>
      <c r="K47" s="110"/>
      <c r="L47" s="122">
        <f t="shared" si="0"/>
        <v>1</v>
      </c>
      <c r="M47" s="121"/>
      <c r="N47" s="121"/>
      <c r="O47" s="114"/>
      <c r="P47" s="113"/>
      <c r="Q47" s="10"/>
      <c r="R47" s="10"/>
      <c r="S47" s="10"/>
      <c r="T47" s="10" t="s">
        <v>32</v>
      </c>
      <c r="U47" s="10"/>
      <c r="V47" s="10"/>
      <c r="W47" s="10"/>
      <c r="X47" s="10"/>
      <c r="Y47" s="10"/>
      <c r="Z47" s="10"/>
      <c r="AA47" s="10"/>
      <c r="AB47" s="10"/>
      <c r="AC47" s="10"/>
      <c r="AD47" s="10"/>
    </row>
    <row r="48" spans="1:30" ht="17" customHeight="1" x14ac:dyDescent="0.2">
      <c r="A48" s="101" t="s">
        <v>127</v>
      </c>
      <c r="B48" s="102" t="s">
        <v>2</v>
      </c>
      <c r="C48" s="102" t="s">
        <v>3</v>
      </c>
      <c r="D48" s="101" t="s">
        <v>128</v>
      </c>
      <c r="E48" s="103" t="s">
        <v>30</v>
      </c>
      <c r="F48" s="104">
        <v>2.0949074074074073E-3</v>
      </c>
      <c r="G48" s="101" t="s">
        <v>31</v>
      </c>
      <c r="H48" s="101"/>
      <c r="I48" s="101" t="s">
        <v>32</v>
      </c>
      <c r="J48" s="101" t="s">
        <v>56</v>
      </c>
      <c r="K48" s="109"/>
      <c r="L48" s="123">
        <f t="shared" si="0"/>
        <v>12</v>
      </c>
      <c r="M48" s="120" t="s">
        <v>32</v>
      </c>
      <c r="N48" s="120" t="s">
        <v>32</v>
      </c>
      <c r="O48" s="117" t="s">
        <v>32</v>
      </c>
      <c r="P48" s="112" t="s">
        <v>32</v>
      </c>
      <c r="Q48" s="101"/>
      <c r="R48" s="101" t="s">
        <v>32</v>
      </c>
      <c r="S48" s="101"/>
      <c r="T48" s="101" t="s">
        <v>32</v>
      </c>
      <c r="U48" s="101" t="s">
        <v>32</v>
      </c>
      <c r="V48" s="101"/>
      <c r="W48" s="101"/>
      <c r="X48" s="101"/>
      <c r="Y48" s="101" t="s">
        <v>32</v>
      </c>
      <c r="Z48" s="101" t="s">
        <v>32</v>
      </c>
      <c r="AA48" s="101"/>
      <c r="AB48" s="101" t="s">
        <v>32</v>
      </c>
      <c r="AC48" s="101" t="s">
        <v>32</v>
      </c>
      <c r="AD48" s="101" t="s">
        <v>32</v>
      </c>
    </row>
    <row r="49" spans="1:30" x14ac:dyDescent="0.2">
      <c r="A49" s="8"/>
      <c r="B49" s="8"/>
      <c r="C49" s="8"/>
      <c r="D49" s="42"/>
      <c r="E49" s="42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</sheetData>
  <hyperlinks>
    <hyperlink ref="O2" location="'2026-05-14 Fat Shallot'!A1" display="2026-05-14_x000a_Fat Shallot" xr:uid="{00000000-0004-0000-0000-000000000000}"/>
    <hyperlink ref="P2" location="'2026-05-02 Lincolnwood'!A1" display="2026-05-02_x000a_Lincolnwood" xr:uid="{00000000-0004-0000-0000-000001000000}"/>
    <hyperlink ref="Q2" location="'2026-04-22 Spring Cha Ching'!A1" display="2026-04-22_x000a_Spring Cha Ching" xr:uid="{00000000-0004-0000-0000-000002000000}"/>
    <hyperlink ref="R2" location="'2026-01-24 Goat Village'!A1" display="2026-01-24_x000a_Goat Village" xr:uid="{00000000-0004-0000-0000-000003000000}"/>
    <hyperlink ref="S2" location="'2025-11-16 Double Clutch'!A1" display="2025-11-16_x000a_Double Clutch" xr:uid="{00000000-0004-0000-0000-000004000000}"/>
    <hyperlink ref="T2" location="'2025-09-06 Block Party'!A1" display="2025-09-06_x000a_Block Party" xr:uid="{00000000-0004-0000-0000-000005000000}"/>
    <hyperlink ref="U2" location="'2025-06-25 American Legion'!A1" display="2025-06-25_x000a_American Legion" xr:uid="{00000000-0004-0000-0000-000006000000}"/>
    <hyperlink ref="V2" location="'2025-06-07 Fat Shallot'!A1" display="2025-06-07_x000a_Fat Shallot" xr:uid="{00000000-0004-0000-0000-000007000000}"/>
    <hyperlink ref="W2" location="'2025-05-03 Lincolnwood'!A1" display="2025-05-03_x000a_Lincolnwood" xr:uid="{00000000-0004-0000-0000-000008000000}"/>
    <hyperlink ref="X2" location="'2024-10-09 Fat Shallot'!A1" display="2024-10-09_x000a_Fat Shallot" xr:uid="{00000000-0004-0000-0000-000009000000}"/>
    <hyperlink ref="Y2" location="'2024-09-07 Block Party'!A1" display="2024-09-07_x000a_Block Party" xr:uid="{00000000-0004-0000-0000-00000A000000}"/>
    <hyperlink ref="Z2" location="'2024-08-10 Fat Shallot'!A1" display="2024-08-10_x000a_Fat Shallot" xr:uid="{00000000-0004-0000-0000-00000B000000}"/>
    <hyperlink ref="AA2" location="'2024-07-13 Chicago Union'!A1" display="2024-07-13_x000a_Chicago Union" xr:uid="{00000000-0004-0000-0000-00000C000000}"/>
    <hyperlink ref="AB2" location="'2024-06-08 Fat Shallot'!A1" display="2024-06-08_x000a_Fat Shallot" xr:uid="{00000000-0004-0000-0000-00000D000000}"/>
    <hyperlink ref="AC2" location="'2024-04-27 Lincolnwood'!A1" display="2024-04-27_x000a_Lincolnwood" xr:uid="{00000000-0004-0000-0000-00000E000000}"/>
    <hyperlink ref="AD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M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 x14ac:dyDescent="0.2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5" bestFit="1" customWidth="1"/>
  </cols>
  <sheetData>
    <row r="1" spans="1:12" s="2" customFormat="1" ht="28" customHeight="1" thickTop="1" thickBot="1" x14ac:dyDescent="0.25">
      <c r="A1" s="43" t="s">
        <v>129</v>
      </c>
      <c r="B1" s="37"/>
      <c r="C1" s="37"/>
      <c r="D1" s="37"/>
      <c r="E1" s="37"/>
      <c r="F1" s="37"/>
      <c r="G1" s="37"/>
      <c r="H1" s="37"/>
      <c r="I1" s="37"/>
      <c r="J1" s="37"/>
      <c r="K1" s="49"/>
      <c r="L1" s="37"/>
    </row>
    <row r="2" spans="1:12" s="2" customFormat="1" ht="22" customHeight="1" thickTop="1" thickBot="1" x14ac:dyDescent="0.25">
      <c r="A2" s="50" t="s">
        <v>130</v>
      </c>
      <c r="B2" s="51" t="s">
        <v>131</v>
      </c>
      <c r="C2" s="50" t="s">
        <v>132</v>
      </c>
      <c r="D2" s="50" t="s">
        <v>133</v>
      </c>
      <c r="E2" s="50" t="s">
        <v>134</v>
      </c>
      <c r="F2" s="51" t="s">
        <v>135</v>
      </c>
      <c r="G2" s="50" t="s">
        <v>136</v>
      </c>
      <c r="H2" s="50" t="s">
        <v>137</v>
      </c>
      <c r="I2" s="50" t="s">
        <v>138</v>
      </c>
      <c r="J2" s="50" t="s">
        <v>139</v>
      </c>
      <c r="K2" s="52" t="s">
        <v>140</v>
      </c>
      <c r="L2" s="50" t="s">
        <v>141</v>
      </c>
    </row>
    <row r="3" spans="1:12" ht="22" customHeight="1" thickTop="1" x14ac:dyDescent="0.25">
      <c r="A3" s="97" t="s">
        <v>142</v>
      </c>
      <c r="B3" s="13" t="s">
        <v>143</v>
      </c>
      <c r="C3" s="9" t="s">
        <v>144</v>
      </c>
      <c r="D3" s="9" t="s">
        <v>145</v>
      </c>
      <c r="E3" s="9">
        <v>10</v>
      </c>
      <c r="F3" s="13"/>
      <c r="G3" s="9"/>
      <c r="H3" s="9"/>
      <c r="I3" s="9"/>
      <c r="J3" s="9"/>
      <c r="K3" s="53"/>
      <c r="L3" s="9"/>
    </row>
    <row r="4" spans="1:12" ht="22" customHeight="1" x14ac:dyDescent="0.25">
      <c r="A4" s="97" t="s">
        <v>146</v>
      </c>
      <c r="B4" s="14" t="s">
        <v>147</v>
      </c>
      <c r="C4" s="10" t="s">
        <v>148</v>
      </c>
      <c r="D4" s="10" t="s">
        <v>149</v>
      </c>
      <c r="E4" s="10">
        <v>11</v>
      </c>
      <c r="F4" s="14"/>
      <c r="G4" s="10"/>
      <c r="H4" s="10"/>
      <c r="I4" s="10"/>
      <c r="J4" s="10"/>
      <c r="K4" s="54"/>
      <c r="L4" s="10"/>
    </row>
    <row r="5" spans="1:12" ht="22" customHeight="1" x14ac:dyDescent="0.25">
      <c r="A5" s="97" t="s">
        <v>150</v>
      </c>
      <c r="B5" s="14" t="s">
        <v>147</v>
      </c>
      <c r="C5" s="10" t="s">
        <v>151</v>
      </c>
      <c r="D5" s="10"/>
      <c r="E5" s="10">
        <v>16</v>
      </c>
      <c r="F5" s="14"/>
      <c r="G5" s="10" t="s">
        <v>151</v>
      </c>
      <c r="H5" s="10" t="s">
        <v>152</v>
      </c>
      <c r="I5" s="10"/>
      <c r="J5" s="10"/>
      <c r="K5" s="54"/>
      <c r="L5" s="10"/>
    </row>
    <row r="6" spans="1:12" ht="22" customHeight="1" x14ac:dyDescent="0.25">
      <c r="A6" s="97" t="s">
        <v>153</v>
      </c>
      <c r="B6" s="14" t="s">
        <v>147</v>
      </c>
      <c r="C6" s="10" t="s">
        <v>154</v>
      </c>
      <c r="D6" s="10" t="s">
        <v>155</v>
      </c>
      <c r="E6" s="10">
        <v>11</v>
      </c>
      <c r="F6" s="14"/>
      <c r="G6" s="10" t="s">
        <v>156</v>
      </c>
      <c r="H6" s="10" t="s">
        <v>157</v>
      </c>
      <c r="I6" s="10"/>
      <c r="J6" s="10"/>
      <c r="K6" s="54">
        <v>100</v>
      </c>
      <c r="L6" s="10"/>
    </row>
    <row r="7" spans="1:12" ht="22" customHeight="1" x14ac:dyDescent="0.25">
      <c r="A7" s="97" t="s">
        <v>158</v>
      </c>
      <c r="B7" s="14" t="s">
        <v>147</v>
      </c>
      <c r="C7" s="10" t="s">
        <v>151</v>
      </c>
      <c r="D7" s="10"/>
      <c r="E7" s="10">
        <v>21</v>
      </c>
      <c r="F7" s="14"/>
      <c r="G7" s="10" t="s">
        <v>151</v>
      </c>
      <c r="H7" s="10" t="s">
        <v>152</v>
      </c>
      <c r="I7" s="10"/>
      <c r="J7" s="10"/>
      <c r="K7" s="54"/>
      <c r="L7" s="10"/>
    </row>
    <row r="8" spans="1:12" ht="22" customHeight="1" x14ac:dyDescent="0.25">
      <c r="A8" s="97" t="s">
        <v>159</v>
      </c>
      <c r="B8" s="14" t="s">
        <v>143</v>
      </c>
      <c r="C8" s="10" t="s">
        <v>144</v>
      </c>
      <c r="D8" s="10" t="s">
        <v>145</v>
      </c>
      <c r="E8" s="10">
        <v>26</v>
      </c>
      <c r="F8" s="14"/>
      <c r="G8" s="10"/>
      <c r="H8" s="10"/>
      <c r="I8" s="10"/>
      <c r="J8" s="10"/>
      <c r="K8" s="54"/>
      <c r="L8" s="10"/>
    </row>
    <row r="9" spans="1:12" ht="22" customHeight="1" x14ac:dyDescent="0.25">
      <c r="A9" s="97" t="s">
        <v>160</v>
      </c>
      <c r="B9" s="14" t="s">
        <v>147</v>
      </c>
      <c r="C9" s="10" t="s">
        <v>151</v>
      </c>
      <c r="D9" s="10" t="s">
        <v>161</v>
      </c>
      <c r="E9" s="10">
        <v>11</v>
      </c>
      <c r="F9" s="14"/>
      <c r="G9" s="10" t="s">
        <v>151</v>
      </c>
      <c r="H9" s="10" t="s">
        <v>152</v>
      </c>
      <c r="I9" s="10"/>
      <c r="J9" s="10"/>
      <c r="K9" s="54"/>
      <c r="L9" s="10"/>
    </row>
    <row r="10" spans="1:12" ht="22" customHeight="1" x14ac:dyDescent="0.25">
      <c r="A10" s="97" t="s">
        <v>162</v>
      </c>
      <c r="B10" s="14" t="s">
        <v>147</v>
      </c>
      <c r="C10" s="10" t="s">
        <v>148</v>
      </c>
      <c r="D10" s="10" t="s">
        <v>149</v>
      </c>
      <c r="E10" s="10">
        <v>13</v>
      </c>
      <c r="F10" s="14"/>
      <c r="G10" s="10"/>
      <c r="H10" s="10"/>
      <c r="I10" s="10"/>
      <c r="J10" s="10"/>
      <c r="K10" s="54"/>
      <c r="L10" s="10"/>
    </row>
    <row r="11" spans="1:12" ht="22" customHeight="1" x14ac:dyDescent="0.25">
      <c r="A11" s="97" t="s">
        <v>163</v>
      </c>
      <c r="B11" s="14" t="s">
        <v>147</v>
      </c>
      <c r="C11" s="10" t="s">
        <v>151</v>
      </c>
      <c r="D11" s="10"/>
      <c r="E11" s="10">
        <v>19</v>
      </c>
      <c r="F11" s="14"/>
      <c r="G11" s="10" t="s">
        <v>151</v>
      </c>
      <c r="H11" s="10" t="s">
        <v>152</v>
      </c>
      <c r="I11" s="10"/>
      <c r="J11" s="10"/>
      <c r="K11" s="54"/>
      <c r="L11" s="10"/>
    </row>
    <row r="12" spans="1:12" ht="22" customHeight="1" x14ac:dyDescent="0.25">
      <c r="A12" s="97" t="s">
        <v>164</v>
      </c>
      <c r="B12" s="14" t="s">
        <v>147</v>
      </c>
      <c r="C12" s="10" t="s">
        <v>165</v>
      </c>
      <c r="D12" s="10"/>
      <c r="E12" s="10">
        <v>28</v>
      </c>
      <c r="F12" s="14"/>
      <c r="G12" s="10"/>
      <c r="H12" s="10"/>
      <c r="I12" s="10"/>
      <c r="J12" s="10"/>
      <c r="K12" s="54"/>
      <c r="L12" s="10"/>
    </row>
    <row r="13" spans="1:12" ht="22" customHeight="1" x14ac:dyDescent="0.25">
      <c r="A13" s="97" t="s">
        <v>166</v>
      </c>
      <c r="B13" s="14" t="s">
        <v>143</v>
      </c>
      <c r="C13" s="10" t="s">
        <v>144</v>
      </c>
      <c r="D13" s="10" t="s">
        <v>145</v>
      </c>
      <c r="E13" s="10">
        <v>14</v>
      </c>
      <c r="F13" s="14"/>
      <c r="G13" s="10"/>
      <c r="H13" s="10"/>
      <c r="I13" s="10"/>
      <c r="J13" s="10"/>
      <c r="K13" s="54"/>
      <c r="L13" s="10"/>
    </row>
    <row r="14" spans="1:12" ht="22" customHeight="1" x14ac:dyDescent="0.2">
      <c r="A14" s="98" t="s">
        <v>167</v>
      </c>
      <c r="B14" s="14"/>
      <c r="C14" s="10" t="s">
        <v>168</v>
      </c>
      <c r="D14" s="10"/>
      <c r="E14" s="10"/>
      <c r="F14" s="14"/>
      <c r="G14" s="10" t="s">
        <v>169</v>
      </c>
      <c r="H14" s="10" t="s">
        <v>170</v>
      </c>
      <c r="I14" s="10"/>
      <c r="J14" s="10"/>
      <c r="K14" s="54"/>
      <c r="L14" s="10" t="s">
        <v>171</v>
      </c>
    </row>
    <row r="15" spans="1:12" ht="22" customHeight="1" x14ac:dyDescent="0.25">
      <c r="A15" s="97" t="s">
        <v>172</v>
      </c>
      <c r="B15" s="14" t="s">
        <v>173</v>
      </c>
      <c r="C15" s="10" t="s">
        <v>174</v>
      </c>
      <c r="D15" s="10" t="s">
        <v>175</v>
      </c>
      <c r="E15" s="10">
        <v>13</v>
      </c>
      <c r="F15" s="14">
        <v>60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54"/>
      <c r="L15" s="10"/>
    </row>
    <row r="16" spans="1:12" ht="22" customHeight="1" x14ac:dyDescent="0.25">
      <c r="A16" s="97" t="s">
        <v>180</v>
      </c>
      <c r="B16" s="14" t="s">
        <v>173</v>
      </c>
      <c r="C16" s="10" t="s">
        <v>181</v>
      </c>
      <c r="D16" s="10"/>
      <c r="E16" s="10">
        <v>31</v>
      </c>
      <c r="F16" s="14"/>
      <c r="G16" s="10" t="s">
        <v>181</v>
      </c>
      <c r="H16" s="10" t="s">
        <v>182</v>
      </c>
      <c r="I16" s="10"/>
      <c r="J16" s="10"/>
      <c r="K16" s="54"/>
      <c r="L16" s="10"/>
    </row>
    <row r="17" spans="1:12" ht="22" customHeight="1" x14ac:dyDescent="0.25">
      <c r="A17" s="97" t="s">
        <v>183</v>
      </c>
      <c r="B17" s="14" t="s">
        <v>147</v>
      </c>
      <c r="C17" s="10" t="s">
        <v>165</v>
      </c>
      <c r="D17" s="10" t="s">
        <v>184</v>
      </c>
      <c r="E17" s="10">
        <v>10</v>
      </c>
      <c r="F17" s="14">
        <v>45</v>
      </c>
      <c r="G17" s="10"/>
      <c r="H17" s="10"/>
      <c r="I17" s="10"/>
      <c r="J17" s="10"/>
      <c r="K17" s="54"/>
      <c r="L17" s="10"/>
    </row>
    <row r="18" spans="1:12" ht="22" customHeight="1" x14ac:dyDescent="0.25">
      <c r="A18" s="97" t="s">
        <v>185</v>
      </c>
      <c r="B18" s="14" t="s">
        <v>147</v>
      </c>
      <c r="C18" s="10" t="s">
        <v>148</v>
      </c>
      <c r="D18" s="10" t="s">
        <v>149</v>
      </c>
      <c r="E18" s="10">
        <v>16</v>
      </c>
      <c r="F18" s="14">
        <v>75</v>
      </c>
      <c r="G18" s="10"/>
      <c r="H18" s="10"/>
      <c r="I18" s="10"/>
      <c r="J18" s="10"/>
      <c r="K18" s="54"/>
      <c r="L18" s="10"/>
    </row>
    <row r="19" spans="1:12" ht="22" customHeight="1" x14ac:dyDescent="0.25">
      <c r="A19" s="97" t="s">
        <v>186</v>
      </c>
      <c r="B19" s="14" t="s">
        <v>187</v>
      </c>
      <c r="C19" s="10" t="s">
        <v>151</v>
      </c>
      <c r="D19" s="10" t="s">
        <v>161</v>
      </c>
      <c r="E19" s="10">
        <v>16</v>
      </c>
      <c r="F19" s="14">
        <v>75</v>
      </c>
      <c r="G19" s="10" t="s">
        <v>151</v>
      </c>
      <c r="H19" s="10" t="s">
        <v>152</v>
      </c>
      <c r="I19" s="10" t="s">
        <v>188</v>
      </c>
      <c r="J19" s="10" t="s">
        <v>189</v>
      </c>
      <c r="K19" s="54"/>
      <c r="L19" s="10"/>
    </row>
    <row r="20" spans="1:12" ht="22" customHeight="1" x14ac:dyDescent="0.25">
      <c r="A20" s="97" t="s">
        <v>190</v>
      </c>
      <c r="B20" s="14" t="s">
        <v>173</v>
      </c>
      <c r="C20" s="10" t="s">
        <v>151</v>
      </c>
      <c r="D20" s="10" t="s">
        <v>191</v>
      </c>
      <c r="E20" s="10"/>
      <c r="F20" s="14">
        <v>120</v>
      </c>
      <c r="G20" s="10" t="s">
        <v>151</v>
      </c>
      <c r="H20" s="10" t="s">
        <v>152</v>
      </c>
      <c r="I20" s="10" t="s">
        <v>192</v>
      </c>
      <c r="J20" s="10" t="s">
        <v>193</v>
      </c>
      <c r="K20" s="54">
        <v>250</v>
      </c>
      <c r="L20" s="10"/>
    </row>
    <row r="21" spans="1:12" ht="22" customHeight="1" x14ac:dyDescent="0.25">
      <c r="A21" s="99">
        <v>46194</v>
      </c>
      <c r="B21" s="69">
        <v>0.70833333333333337</v>
      </c>
      <c r="C21" s="10" t="s">
        <v>154</v>
      </c>
      <c r="D21" s="10" t="s">
        <v>155</v>
      </c>
      <c r="E21" s="10">
        <v>15</v>
      </c>
      <c r="F21" s="14">
        <v>60</v>
      </c>
      <c r="G21" s="10" t="s">
        <v>156</v>
      </c>
      <c r="H21" s="10" t="s">
        <v>157</v>
      </c>
      <c r="I21" s="10"/>
      <c r="J21" s="10"/>
      <c r="K21" s="54"/>
      <c r="L21" s="10"/>
    </row>
    <row r="22" spans="1:12" ht="22" customHeight="1" x14ac:dyDescent="0.25">
      <c r="A22" s="99">
        <v>46197</v>
      </c>
      <c r="B22" s="69">
        <v>0.75</v>
      </c>
      <c r="C22" s="10" t="s">
        <v>194</v>
      </c>
      <c r="D22" s="10"/>
      <c r="E22" s="10"/>
      <c r="F22" s="14"/>
      <c r="G22" s="10" t="s">
        <v>195</v>
      </c>
      <c r="H22" s="10" t="s">
        <v>196</v>
      </c>
      <c r="I22" s="10"/>
      <c r="J22" s="10"/>
      <c r="K22" s="54"/>
      <c r="L22" s="10"/>
    </row>
    <row r="23" spans="1:12" ht="22" customHeight="1" x14ac:dyDescent="0.2">
      <c r="A23" s="100"/>
    </row>
    <row r="24" spans="1:12" x14ac:dyDescent="0.2">
      <c r="A24" s="1"/>
    </row>
    <row r="25" spans="1:12" x14ac:dyDescent="0.2">
      <c r="A25" s="1"/>
    </row>
    <row r="26" spans="1:12" x14ac:dyDescent="0.2">
      <c r="A26" s="1"/>
    </row>
    <row r="27" spans="1:12" x14ac:dyDescent="0.2">
      <c r="A27" s="1"/>
    </row>
    <row r="28" spans="1:12" x14ac:dyDescent="0.2">
      <c r="A28" s="1"/>
    </row>
    <row r="29" spans="1:12" x14ac:dyDescent="0.2">
      <c r="A29" s="1"/>
    </row>
    <row r="30" spans="1:12" x14ac:dyDescent="0.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topLeftCell="D1"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7" customFormat="1" ht="28" customHeight="1" thickTop="1" thickBot="1" x14ac:dyDescent="0.3">
      <c r="A1" s="43" t="s">
        <v>197</v>
      </c>
      <c r="B1" s="44"/>
      <c r="C1" s="44"/>
      <c r="D1" s="44"/>
      <c r="E1" s="44"/>
      <c r="F1" s="44"/>
      <c r="G1" s="44"/>
      <c r="H1" s="44"/>
    </row>
    <row r="2" spans="1:8" s="7" customFormat="1" ht="28" customHeight="1" thickTop="1" thickBot="1" x14ac:dyDescent="0.3">
      <c r="A2" s="43" t="s">
        <v>198</v>
      </c>
      <c r="B2" s="45" t="s">
        <v>199</v>
      </c>
      <c r="C2" s="45" t="s">
        <v>200</v>
      </c>
      <c r="D2" s="45" t="s">
        <v>201</v>
      </c>
      <c r="E2" s="45" t="s">
        <v>202</v>
      </c>
      <c r="F2" s="45" t="s">
        <v>203</v>
      </c>
      <c r="G2" s="45"/>
      <c r="H2" s="45"/>
    </row>
    <row r="3" spans="1:8" ht="20" customHeight="1" thickTop="1" x14ac:dyDescent="0.25">
      <c r="A3" s="9" t="s">
        <v>204</v>
      </c>
      <c r="B3" s="9" t="s">
        <v>53</v>
      </c>
      <c r="C3" s="9" t="s">
        <v>39</v>
      </c>
      <c r="D3" s="9" t="s">
        <v>33</v>
      </c>
      <c r="E3" s="9" t="s">
        <v>205</v>
      </c>
      <c r="F3" s="12" t="s">
        <v>206</v>
      </c>
      <c r="G3" s="12"/>
      <c r="H3" s="12"/>
    </row>
    <row r="4" spans="1:8" ht="20" customHeight="1" x14ac:dyDescent="0.25">
      <c r="A4" s="10" t="s">
        <v>207</v>
      </c>
      <c r="B4" s="10" t="s">
        <v>208</v>
      </c>
      <c r="C4" s="10" t="s">
        <v>270</v>
      </c>
      <c r="D4" s="10" t="s">
        <v>40</v>
      </c>
      <c r="E4" s="10" t="s">
        <v>209</v>
      </c>
      <c r="F4" s="12" t="s">
        <v>210</v>
      </c>
      <c r="G4" s="12"/>
      <c r="H4" s="12"/>
    </row>
    <row r="5" spans="1:8" ht="20" customHeight="1" x14ac:dyDescent="0.25">
      <c r="A5" s="10" t="s">
        <v>211</v>
      </c>
      <c r="B5" s="10" t="s">
        <v>212</v>
      </c>
      <c r="C5" s="10" t="s">
        <v>36</v>
      </c>
      <c r="D5" s="10" t="s">
        <v>69</v>
      </c>
      <c r="E5" s="10"/>
      <c r="F5" s="12" t="s">
        <v>213</v>
      </c>
      <c r="G5" s="12"/>
      <c r="H5" s="12"/>
    </row>
    <row r="6" spans="1:8" ht="20" customHeight="1" x14ac:dyDescent="0.25">
      <c r="A6" s="10" t="s">
        <v>214</v>
      </c>
      <c r="B6" s="10" t="s">
        <v>215</v>
      </c>
      <c r="C6" s="10" t="s">
        <v>36</v>
      </c>
      <c r="D6" s="10" t="s">
        <v>40</v>
      </c>
      <c r="E6" s="10" t="s">
        <v>216</v>
      </c>
      <c r="F6" s="12" t="s">
        <v>217</v>
      </c>
      <c r="G6" s="12"/>
      <c r="H6" s="12"/>
    </row>
    <row r="7" spans="1:8" ht="17" customHeight="1" x14ac:dyDescent="0.25">
      <c r="A7" s="12" t="s">
        <v>218</v>
      </c>
      <c r="B7" s="12" t="s">
        <v>219</v>
      </c>
      <c r="C7" s="12" t="s">
        <v>48</v>
      </c>
      <c r="D7" s="12"/>
      <c r="E7" s="12"/>
      <c r="F7" s="12" t="s">
        <v>220</v>
      </c>
      <c r="G7" s="12"/>
      <c r="H7" s="12"/>
    </row>
    <row r="8" spans="1:8" ht="17" customHeight="1" x14ac:dyDescent="0.25">
      <c r="A8" s="6" t="s">
        <v>268</v>
      </c>
      <c r="B8" s="6" t="s">
        <v>269</v>
      </c>
      <c r="C8" s="6" t="s">
        <v>48</v>
      </c>
      <c r="D8" s="6"/>
      <c r="E8" s="6"/>
      <c r="F8" s="6"/>
      <c r="G8" s="6"/>
      <c r="H8" s="6"/>
    </row>
    <row r="9" spans="1:8" ht="17" customHeight="1" x14ac:dyDescent="0.25">
      <c r="A9" s="6"/>
      <c r="B9" s="6"/>
      <c r="C9" s="6"/>
      <c r="D9" s="6"/>
      <c r="E9" s="6"/>
      <c r="F9" s="6"/>
      <c r="G9" s="6"/>
      <c r="H9" s="6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46" t="s">
        <v>221</v>
      </c>
      <c r="B1" s="47"/>
      <c r="C1" s="47"/>
      <c r="D1" s="47"/>
      <c r="E1" s="47"/>
      <c r="F1" s="47"/>
      <c r="G1" s="47"/>
    </row>
    <row r="2" spans="1:7" s="4" customFormat="1" ht="22" customHeight="1" thickTop="1" thickBot="1" x14ac:dyDescent="0.25">
      <c r="A2" s="48" t="s">
        <v>132</v>
      </c>
      <c r="B2" s="48" t="s">
        <v>222</v>
      </c>
      <c r="C2" s="48" t="s">
        <v>223</v>
      </c>
      <c r="D2" s="48" t="s">
        <v>224</v>
      </c>
      <c r="E2" s="48" t="s">
        <v>225</v>
      </c>
      <c r="F2" s="48" t="s">
        <v>226</v>
      </c>
      <c r="G2" s="48" t="s">
        <v>141</v>
      </c>
    </row>
    <row r="3" spans="1:7" ht="22" customHeight="1" thickTop="1" x14ac:dyDescent="0.2">
      <c r="A3" s="9" t="s">
        <v>227</v>
      </c>
      <c r="B3" s="9" t="s">
        <v>228</v>
      </c>
      <c r="C3" s="9" t="s">
        <v>229</v>
      </c>
      <c r="D3" s="9" t="s">
        <v>230</v>
      </c>
      <c r="E3" s="9"/>
      <c r="F3" s="9" t="s">
        <v>231</v>
      </c>
      <c r="G3" s="9" t="s">
        <v>232</v>
      </c>
    </row>
    <row r="4" spans="1:7" ht="22" customHeight="1" x14ac:dyDescent="0.2">
      <c r="A4" s="10" t="s">
        <v>233</v>
      </c>
      <c r="B4" s="10" t="s">
        <v>234</v>
      </c>
      <c r="C4" s="10" t="s">
        <v>235</v>
      </c>
      <c r="D4" s="10" t="s">
        <v>236</v>
      </c>
      <c r="E4" s="10" t="s">
        <v>166</v>
      </c>
      <c r="F4" s="10" t="s">
        <v>231</v>
      </c>
      <c r="G4" s="10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 x14ac:dyDescent="0.2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130" customFormat="1" ht="28" customHeight="1" thickTop="1" thickBot="1" x14ac:dyDescent="0.25">
      <c r="A1" s="36" t="s">
        <v>272</v>
      </c>
      <c r="B1" s="38"/>
      <c r="C1" s="38"/>
      <c r="D1" s="38"/>
      <c r="E1" s="38"/>
      <c r="F1" s="38"/>
      <c r="G1" s="38"/>
      <c r="H1" s="38"/>
    </row>
    <row r="2" spans="1:8" s="130" customFormat="1" ht="22" customHeight="1" thickTop="1" thickBot="1" x14ac:dyDescent="0.25">
      <c r="A2" s="55" t="s">
        <v>130</v>
      </c>
      <c r="B2" s="55" t="s">
        <v>238</v>
      </c>
      <c r="C2" s="55" t="s">
        <v>239</v>
      </c>
      <c r="D2" s="55" t="s">
        <v>240</v>
      </c>
      <c r="E2" s="55" t="s">
        <v>141</v>
      </c>
      <c r="F2" s="38"/>
      <c r="G2" s="38"/>
      <c r="H2" s="38"/>
    </row>
    <row r="3" spans="1:8" ht="18" customHeight="1" thickTop="1" x14ac:dyDescent="0.25">
      <c r="A3" s="131">
        <v>45486</v>
      </c>
      <c r="B3" s="132" t="s">
        <v>273</v>
      </c>
      <c r="C3" s="132" t="s">
        <v>154</v>
      </c>
      <c r="D3" s="133">
        <v>100</v>
      </c>
      <c r="E3" s="132"/>
      <c r="F3" s="132"/>
      <c r="G3" s="132"/>
      <c r="H3" s="132"/>
    </row>
    <row r="4" spans="1:8" ht="17" customHeight="1" x14ac:dyDescent="0.25">
      <c r="A4" s="134">
        <v>46158</v>
      </c>
      <c r="B4" s="135" t="s">
        <v>273</v>
      </c>
      <c r="C4" s="135" t="s">
        <v>192</v>
      </c>
      <c r="D4" s="136">
        <v>250</v>
      </c>
      <c r="E4" s="135"/>
      <c r="F4" s="135"/>
      <c r="G4" s="135"/>
      <c r="H4" s="135"/>
    </row>
    <row r="5" spans="1:8" ht="17" customHeight="1" x14ac:dyDescent="0.25">
      <c r="A5" s="135"/>
      <c r="B5" s="135"/>
      <c r="C5" s="135"/>
      <c r="D5" s="136"/>
      <c r="E5" s="135"/>
      <c r="F5" s="135"/>
      <c r="G5" s="135"/>
      <c r="H5" s="135"/>
    </row>
    <row r="6" spans="1:8" ht="17" customHeight="1" x14ac:dyDescent="0.25">
      <c r="A6" s="135"/>
      <c r="B6" s="135"/>
      <c r="C6" s="135"/>
      <c r="D6" s="136"/>
      <c r="E6" s="135"/>
      <c r="F6" s="135"/>
      <c r="G6" s="135"/>
      <c r="H6" s="135"/>
    </row>
    <row r="7" spans="1:8" ht="17" customHeight="1" x14ac:dyDescent="0.25">
      <c r="A7" s="135"/>
      <c r="B7" s="135"/>
      <c r="C7" s="135"/>
      <c r="D7" s="136"/>
      <c r="E7" s="135"/>
      <c r="F7" s="135"/>
      <c r="G7" s="135"/>
      <c r="H7" s="135"/>
    </row>
    <row r="8" spans="1:8" ht="17" customHeight="1" x14ac:dyDescent="0.25">
      <c r="A8" s="135"/>
      <c r="B8" s="135"/>
      <c r="C8" s="135"/>
      <c r="D8" s="136"/>
      <c r="E8" s="135"/>
      <c r="F8" s="135"/>
      <c r="G8" s="135"/>
      <c r="H8" s="135"/>
    </row>
    <row r="9" spans="1:8" ht="17" customHeight="1" x14ac:dyDescent="0.25">
      <c r="A9" s="135"/>
      <c r="B9" s="135"/>
      <c r="C9" s="135"/>
      <c r="D9" s="136"/>
      <c r="E9" s="135"/>
      <c r="F9" s="135"/>
      <c r="G9" s="135"/>
      <c r="H9" s="135"/>
    </row>
    <row r="10" spans="1:8" ht="17" customHeight="1" x14ac:dyDescent="0.25">
      <c r="A10" s="135"/>
      <c r="B10" s="135"/>
      <c r="C10" s="135"/>
      <c r="D10" s="136"/>
      <c r="E10" s="135"/>
      <c r="F10" s="135"/>
      <c r="G10" s="135"/>
      <c r="H10" s="135"/>
    </row>
    <row r="11" spans="1:8" ht="17" customHeight="1" x14ac:dyDescent="0.25">
      <c r="A11" s="135"/>
      <c r="B11" s="135"/>
      <c r="C11" s="135"/>
      <c r="D11" s="136"/>
      <c r="E11" s="135"/>
      <c r="F11" s="135"/>
      <c r="G11" s="135"/>
      <c r="H11" s="135"/>
    </row>
    <row r="12" spans="1:8" ht="17" customHeight="1" x14ac:dyDescent="0.25">
      <c r="A12" s="135"/>
      <c r="B12" s="135"/>
      <c r="C12" s="135"/>
      <c r="D12" s="136"/>
      <c r="E12" s="135"/>
      <c r="F12" s="135"/>
      <c r="G12" s="135"/>
      <c r="H12" s="135"/>
    </row>
    <row r="13" spans="1:8" ht="17" customHeight="1" x14ac:dyDescent="0.25">
      <c r="A13" s="135"/>
      <c r="B13" s="135"/>
      <c r="C13" s="135"/>
      <c r="D13" s="136"/>
      <c r="E13" s="135"/>
      <c r="F13" s="135"/>
      <c r="G13" s="135"/>
      <c r="H13" s="135"/>
    </row>
    <row r="14" spans="1:8" ht="17" customHeight="1" x14ac:dyDescent="0.25">
      <c r="A14" s="135"/>
      <c r="B14" s="135"/>
      <c r="C14" s="135"/>
      <c r="D14" s="136"/>
      <c r="E14" s="135"/>
      <c r="F14" s="135"/>
      <c r="G14" s="135"/>
      <c r="H14" s="135"/>
    </row>
    <row r="15" spans="1:8" ht="17" customHeight="1" x14ac:dyDescent="0.25">
      <c r="A15" s="135"/>
      <c r="B15" s="135"/>
      <c r="C15" s="135"/>
      <c r="D15" s="136"/>
      <c r="E15" s="135"/>
      <c r="F15" s="135"/>
      <c r="G15" s="135"/>
      <c r="H15" s="135"/>
    </row>
    <row r="16" spans="1:8" ht="17" customHeight="1" x14ac:dyDescent="0.25">
      <c r="A16" s="135"/>
      <c r="B16" s="135"/>
      <c r="C16" s="135"/>
      <c r="D16" s="136"/>
      <c r="E16" s="135"/>
      <c r="F16" s="135"/>
      <c r="G16" s="135"/>
      <c r="H16" s="135"/>
    </row>
    <row r="17" spans="1:8" ht="17" customHeight="1" x14ac:dyDescent="0.25">
      <c r="A17" s="135"/>
      <c r="B17" s="135"/>
      <c r="C17" s="135"/>
      <c r="D17" s="136"/>
      <c r="E17" s="135"/>
      <c r="F17" s="135"/>
      <c r="G17" s="135"/>
      <c r="H17" s="135"/>
    </row>
    <row r="18" spans="1:8" ht="17" customHeight="1" x14ac:dyDescent="0.25">
      <c r="A18" s="135"/>
      <c r="B18" s="135"/>
      <c r="C18" s="135"/>
      <c r="D18" s="136"/>
      <c r="E18" s="135"/>
      <c r="F18" s="135"/>
      <c r="G18" s="135"/>
      <c r="H18" s="135"/>
    </row>
    <row r="19" spans="1:8" ht="17" customHeight="1" x14ac:dyDescent="0.25">
      <c r="A19" s="135"/>
      <c r="B19" s="135"/>
      <c r="C19" s="135"/>
      <c r="D19" s="136"/>
      <c r="E19" s="135"/>
      <c r="F19" s="135"/>
      <c r="G19" s="135"/>
      <c r="H19" s="135"/>
    </row>
    <row r="20" spans="1:8" ht="17" customHeight="1" x14ac:dyDescent="0.25">
      <c r="A20" s="135"/>
      <c r="B20" s="135"/>
      <c r="C20" s="135"/>
      <c r="D20" s="136"/>
      <c r="E20" s="135"/>
      <c r="F20" s="135"/>
      <c r="G20" s="135"/>
      <c r="H20" s="135"/>
    </row>
    <row r="21" spans="1:8" ht="17" customHeight="1" x14ac:dyDescent="0.25">
      <c r="A21" s="135"/>
      <c r="B21" s="135"/>
      <c r="C21" s="135"/>
      <c r="D21" s="136"/>
      <c r="E21" s="135"/>
      <c r="F21" s="135"/>
      <c r="G21" s="135"/>
      <c r="H21" s="135"/>
    </row>
    <row r="22" spans="1:8" ht="17" customHeight="1" x14ac:dyDescent="0.25">
      <c r="A22" s="135"/>
      <c r="B22" s="135"/>
      <c r="C22" s="135"/>
      <c r="D22" s="136"/>
      <c r="E22" s="135"/>
      <c r="F22" s="135"/>
      <c r="G22" s="135"/>
      <c r="H22" s="135"/>
    </row>
    <row r="23" spans="1:8" ht="17" customHeight="1" x14ac:dyDescent="0.25">
      <c r="A23" s="135"/>
      <c r="B23" s="135"/>
      <c r="C23" s="135"/>
      <c r="D23" s="136"/>
      <c r="E23" s="135"/>
      <c r="F23" s="135"/>
      <c r="G23" s="135"/>
      <c r="H23" s="135"/>
    </row>
    <row r="24" spans="1:8" ht="17" customHeight="1" x14ac:dyDescent="0.25">
      <c r="A24" s="135"/>
      <c r="B24" s="135"/>
      <c r="C24" s="135"/>
      <c r="D24" s="136"/>
      <c r="E24" s="135"/>
      <c r="F24" s="135"/>
      <c r="G24" s="135"/>
      <c r="H24" s="135"/>
    </row>
    <row r="25" spans="1:8" ht="17" customHeight="1" x14ac:dyDescent="0.25">
      <c r="A25" s="135"/>
      <c r="B25" s="135"/>
      <c r="C25" s="135"/>
      <c r="D25" s="136"/>
      <c r="E25" s="135"/>
      <c r="F25" s="135"/>
      <c r="G25" s="135"/>
      <c r="H25" s="135"/>
    </row>
    <row r="26" spans="1:8" ht="17" customHeight="1" x14ac:dyDescent="0.25">
      <c r="A26" s="135"/>
      <c r="B26" s="135"/>
      <c r="C26" s="135"/>
      <c r="D26" s="136"/>
      <c r="E26" s="135"/>
      <c r="F26" s="135"/>
      <c r="G26" s="135"/>
      <c r="H26" s="135"/>
    </row>
    <row r="27" spans="1:8" ht="16" customHeight="1" x14ac:dyDescent="0.2">
      <c r="A27" s="137"/>
      <c r="B27" s="137"/>
      <c r="C27" s="137"/>
      <c r="D27" s="138"/>
      <c r="E27" s="137"/>
      <c r="F27" s="137"/>
      <c r="G27" s="137"/>
      <c r="H27" s="137"/>
    </row>
    <row r="28" spans="1:8" x14ac:dyDescent="0.2">
      <c r="D28" s="139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241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x14ac:dyDescent="0.2">
      <c r="A3" s="24"/>
      <c r="B3" s="19"/>
      <c r="C3" s="26"/>
      <c r="D3" s="26"/>
      <c r="E3" s="19"/>
      <c r="F3" s="28"/>
    </row>
    <row r="4" spans="1:6" ht="22" customHeight="1" thickBot="1" x14ac:dyDescent="0.25">
      <c r="A4" s="29"/>
      <c r="B4" s="30" t="s">
        <v>244</v>
      </c>
      <c r="C4" s="31"/>
      <c r="D4" s="31"/>
      <c r="E4" s="30"/>
      <c r="F4" s="32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1"/>
  <sheetViews>
    <sheetView tabSelected="1" workbookViewId="0">
      <pane ySplit="2" topLeftCell="A3" activePane="bottomLeft" state="frozen"/>
      <selection pane="bottomLeft" activeCell="F18" sqref="A1:F18"/>
    </sheetView>
  </sheetViews>
  <sheetFormatPr baseColWidth="10" defaultColWidth="8.83203125" defaultRowHeight="15" x14ac:dyDescent="0.2"/>
  <cols>
    <col min="1" max="1" width="4.83203125" style="15" customWidth="1"/>
    <col min="2" max="2" width="23.6640625" bestFit="1" customWidth="1"/>
    <col min="3" max="4" width="5.1640625" style="15" bestFit="1" customWidth="1"/>
    <col min="5" max="5" width="9.1640625" customWidth="1"/>
    <col min="6" max="6" width="11.83203125" style="15" customWidth="1"/>
  </cols>
  <sheetData>
    <row r="1" spans="1:6" ht="28" customHeight="1" x14ac:dyDescent="0.2">
      <c r="A1" s="150" t="s">
        <v>275</v>
      </c>
      <c r="B1" s="151"/>
      <c r="C1" s="151"/>
      <c r="D1" s="151"/>
      <c r="E1" s="151"/>
      <c r="F1" s="152"/>
    </row>
    <row r="2" spans="1:6" ht="22" customHeight="1" x14ac:dyDescent="0.2">
      <c r="A2" s="142" t="s">
        <v>242</v>
      </c>
      <c r="B2" s="143" t="s">
        <v>1</v>
      </c>
      <c r="C2" s="143" t="s">
        <v>2</v>
      </c>
      <c r="D2" s="143" t="s">
        <v>3</v>
      </c>
      <c r="E2" s="143" t="s">
        <v>243</v>
      </c>
      <c r="F2" s="73" t="s">
        <v>6</v>
      </c>
    </row>
    <row r="3" spans="1:6" ht="17" x14ac:dyDescent="0.25">
      <c r="A3" s="144">
        <v>1</v>
      </c>
      <c r="B3" s="144" t="s">
        <v>49</v>
      </c>
      <c r="C3" s="145" t="s">
        <v>2</v>
      </c>
      <c r="D3" s="145" t="s">
        <v>3</v>
      </c>
      <c r="E3" s="144" t="s">
        <v>31</v>
      </c>
      <c r="F3" s="146">
        <v>2.1875000000000002E-3</v>
      </c>
    </row>
    <row r="4" spans="1:6" ht="22" customHeight="1" x14ac:dyDescent="0.25">
      <c r="A4" s="147">
        <v>2</v>
      </c>
      <c r="B4" s="147" t="s">
        <v>72</v>
      </c>
      <c r="C4" s="148" t="s">
        <v>2</v>
      </c>
      <c r="D4" s="148" t="s">
        <v>3</v>
      </c>
      <c r="E4" s="147" t="s">
        <v>36</v>
      </c>
      <c r="F4" s="149">
        <v>2.60416666666667E-3</v>
      </c>
    </row>
    <row r="5" spans="1:6" ht="17" x14ac:dyDescent="0.25">
      <c r="A5" s="144">
        <v>3</v>
      </c>
      <c r="B5" s="144" t="s">
        <v>44</v>
      </c>
      <c r="C5" s="145" t="s">
        <v>2</v>
      </c>
      <c r="D5" s="145" t="s">
        <v>3</v>
      </c>
      <c r="E5" s="144" t="s">
        <v>31</v>
      </c>
      <c r="F5" s="146">
        <v>3.4143518518518498E-3</v>
      </c>
    </row>
    <row r="6" spans="1:6" ht="17" x14ac:dyDescent="0.25">
      <c r="A6" s="147">
        <v>4</v>
      </c>
      <c r="B6" s="147" t="s">
        <v>90</v>
      </c>
      <c r="C6" s="148" t="s">
        <v>2</v>
      </c>
      <c r="D6" s="148" t="s">
        <v>3</v>
      </c>
      <c r="E6" s="147" t="s">
        <v>36</v>
      </c>
      <c r="F6" s="149">
        <v>2.8587962962962998E-3</v>
      </c>
    </row>
    <row r="7" spans="1:6" ht="17" x14ac:dyDescent="0.25">
      <c r="A7" s="144">
        <v>5</v>
      </c>
      <c r="B7" s="144" t="s">
        <v>70</v>
      </c>
      <c r="C7" s="145" t="s">
        <v>2</v>
      </c>
      <c r="D7" s="145" t="s">
        <v>3</v>
      </c>
      <c r="E7" s="144" t="s">
        <v>31</v>
      </c>
      <c r="F7" s="146">
        <v>2.4305555555555599E-3</v>
      </c>
    </row>
    <row r="8" spans="1:6" ht="17" x14ac:dyDescent="0.25">
      <c r="A8" s="147">
        <v>6</v>
      </c>
      <c r="B8" s="147" t="s">
        <v>94</v>
      </c>
      <c r="C8" s="148" t="s">
        <v>2</v>
      </c>
      <c r="D8" s="148" t="s">
        <v>3</v>
      </c>
      <c r="E8" s="147" t="s">
        <v>39</v>
      </c>
      <c r="F8" s="149">
        <v>3.59953703703704E-3</v>
      </c>
    </row>
    <row r="9" spans="1:6" ht="17" x14ac:dyDescent="0.25">
      <c r="A9" s="144">
        <v>7</v>
      </c>
      <c r="B9" s="144" t="s">
        <v>63</v>
      </c>
      <c r="C9" s="145" t="s">
        <v>2</v>
      </c>
      <c r="D9" s="145" t="s">
        <v>3</v>
      </c>
      <c r="E9" s="144" t="s">
        <v>31</v>
      </c>
      <c r="F9" s="146">
        <v>2.7893518518518502E-3</v>
      </c>
    </row>
    <row r="10" spans="1:6" ht="17" x14ac:dyDescent="0.25">
      <c r="A10" s="147">
        <v>8</v>
      </c>
      <c r="B10" s="147" t="s">
        <v>106</v>
      </c>
      <c r="C10" s="148" t="s">
        <v>2</v>
      </c>
      <c r="D10" s="148" t="s">
        <v>3</v>
      </c>
      <c r="E10" s="147" t="s">
        <v>36</v>
      </c>
      <c r="F10" s="149">
        <v>3.3680555555555599E-3</v>
      </c>
    </row>
    <row r="11" spans="1:6" ht="17" x14ac:dyDescent="0.25">
      <c r="A11" s="144">
        <v>9</v>
      </c>
      <c r="B11" s="144" t="s">
        <v>127</v>
      </c>
      <c r="C11" s="145" t="s">
        <v>2</v>
      </c>
      <c r="D11" s="145" t="s">
        <v>3</v>
      </c>
      <c r="E11" s="144" t="s">
        <v>31</v>
      </c>
      <c r="F11" s="146">
        <v>2.0949074074074099E-3</v>
      </c>
    </row>
    <row r="12" spans="1:6" ht="17" x14ac:dyDescent="0.25">
      <c r="A12" s="147">
        <v>10</v>
      </c>
      <c r="B12" s="147" t="s">
        <v>85</v>
      </c>
      <c r="C12" s="148" t="s">
        <v>2</v>
      </c>
      <c r="D12" s="148" t="s">
        <v>3</v>
      </c>
      <c r="E12" s="147" t="s">
        <v>48</v>
      </c>
      <c r="F12" s="162">
        <v>1.9791666666666668E-3</v>
      </c>
    </row>
    <row r="13" spans="1:6" ht="17" x14ac:dyDescent="0.25">
      <c r="A13" s="144">
        <v>11</v>
      </c>
      <c r="B13" s="144" t="s">
        <v>246</v>
      </c>
      <c r="C13" s="163" t="s">
        <v>2</v>
      </c>
      <c r="D13" s="164" t="s">
        <v>3</v>
      </c>
      <c r="E13" s="144" t="s">
        <v>39</v>
      </c>
      <c r="F13" s="146">
        <v>2.5810185185185198E-3</v>
      </c>
    </row>
    <row r="14" spans="1:6" ht="17" x14ac:dyDescent="0.25">
      <c r="A14" s="147">
        <v>12</v>
      </c>
      <c r="B14" s="147" t="s">
        <v>54</v>
      </c>
      <c r="C14" s="148" t="s">
        <v>2</v>
      </c>
      <c r="D14" s="148" t="s">
        <v>3</v>
      </c>
      <c r="E14" s="147" t="s">
        <v>39</v>
      </c>
      <c r="F14" s="149">
        <v>2.7430555555555602E-3</v>
      </c>
    </row>
    <row r="15" spans="1:6" ht="17" x14ac:dyDescent="0.25">
      <c r="A15" s="144">
        <v>13</v>
      </c>
      <c r="B15" s="144" t="s">
        <v>78</v>
      </c>
      <c r="C15" s="145" t="s">
        <v>2</v>
      </c>
      <c r="D15" s="145" t="s">
        <v>3</v>
      </c>
      <c r="E15" s="144" t="s">
        <v>39</v>
      </c>
      <c r="F15" s="146">
        <v>2.5810185185185198E-3</v>
      </c>
    </row>
    <row r="16" spans="1:6" ht="17" x14ac:dyDescent="0.25">
      <c r="A16" s="147">
        <v>14</v>
      </c>
      <c r="B16" s="147" t="s">
        <v>99</v>
      </c>
      <c r="C16" s="148" t="s">
        <v>2</v>
      </c>
      <c r="D16" s="148" t="s">
        <v>3</v>
      </c>
      <c r="E16" s="147" t="s">
        <v>39</v>
      </c>
      <c r="F16" s="149">
        <v>2.9513888888888901E-3</v>
      </c>
    </row>
    <row r="17" spans="1:6" ht="18" thickBot="1" x14ac:dyDescent="0.3">
      <c r="A17" s="165">
        <v>15</v>
      </c>
      <c r="B17" s="165" t="s">
        <v>123</v>
      </c>
      <c r="C17" s="166" t="s">
        <v>2</v>
      </c>
      <c r="D17" s="166" t="s">
        <v>3</v>
      </c>
      <c r="E17" s="165" t="s">
        <v>36</v>
      </c>
      <c r="F17" s="167">
        <v>3.32175925925926E-3</v>
      </c>
    </row>
    <row r="18" spans="1:6" ht="18" thickBot="1" x14ac:dyDescent="0.3">
      <c r="A18" s="140"/>
      <c r="B18" s="141" t="s">
        <v>244</v>
      </c>
      <c r="C18" s="141"/>
      <c r="D18" s="141"/>
      <c r="E18" s="141"/>
      <c r="F18" s="168">
        <f>SUM(F3:F17)</f>
        <v>4.1504629629629655E-2</v>
      </c>
    </row>
    <row r="19" spans="1:6" x14ac:dyDescent="0.2">
      <c r="A19"/>
      <c r="C19"/>
      <c r="D19"/>
      <c r="F19"/>
    </row>
    <row r="20" spans="1:6" x14ac:dyDescent="0.2">
      <c r="A20"/>
      <c r="C20"/>
      <c r="D20"/>
      <c r="F20"/>
    </row>
    <row r="21" spans="1:6" x14ac:dyDescent="0.2">
      <c r="A21"/>
      <c r="C21"/>
      <c r="D21"/>
      <c r="F21"/>
    </row>
    <row r="22" spans="1:6" x14ac:dyDescent="0.2">
      <c r="A22"/>
      <c r="C22"/>
      <c r="D22"/>
      <c r="F22"/>
    </row>
    <row r="23" spans="1:6" x14ac:dyDescent="0.2">
      <c r="A23"/>
      <c r="C23"/>
      <c r="D23"/>
      <c r="F23"/>
    </row>
    <row r="24" spans="1:6" x14ac:dyDescent="0.2">
      <c r="A24"/>
      <c r="C24"/>
      <c r="D24"/>
      <c r="F24"/>
    </row>
    <row r="25" spans="1:6" x14ac:dyDescent="0.2">
      <c r="A25"/>
      <c r="C25"/>
      <c r="D25"/>
      <c r="F25"/>
    </row>
    <row r="26" spans="1:6" x14ac:dyDescent="0.2">
      <c r="A26"/>
      <c r="C26"/>
      <c r="D26"/>
      <c r="F26"/>
    </row>
    <row r="27" spans="1:6" x14ac:dyDescent="0.2">
      <c r="A27"/>
      <c r="C27"/>
      <c r="D27"/>
      <c r="F27"/>
    </row>
    <row r="28" spans="1:6" x14ac:dyDescent="0.2">
      <c r="A28"/>
      <c r="C28"/>
      <c r="D28"/>
      <c r="F28"/>
    </row>
    <row r="29" spans="1:6" x14ac:dyDescent="0.2">
      <c r="A29"/>
      <c r="C29"/>
      <c r="D29"/>
      <c r="F29"/>
    </row>
    <row r="30" spans="1:6" x14ac:dyDescent="0.2">
      <c r="A30"/>
      <c r="C30"/>
      <c r="D30"/>
      <c r="F30"/>
    </row>
    <row r="31" spans="1:6" x14ac:dyDescent="0.2">
      <c r="A31"/>
      <c r="C31"/>
      <c r="D31"/>
      <c r="F31"/>
    </row>
    <row r="32" spans="1:6" x14ac:dyDescent="0.2">
      <c r="A32"/>
      <c r="C32"/>
      <c r="D32"/>
      <c r="F32"/>
    </row>
    <row r="33" customFormat="1" x14ac:dyDescent="0.2"/>
    <row r="34" customFormat="1" x14ac:dyDescent="0.2"/>
    <row r="35" customFormat="1" x14ac:dyDescent="0.2"/>
    <row r="36" customFormat="1" x14ac:dyDescent="0.2"/>
    <row r="37" customFormat="1" x14ac:dyDescent="0.2"/>
    <row r="38" customFormat="1" x14ac:dyDescent="0.2"/>
    <row r="39" customFormat="1" x14ac:dyDescent="0.2"/>
    <row r="40" customFormat="1" x14ac:dyDescent="0.2"/>
    <row r="41" customFormat="1" x14ac:dyDescent="0.2"/>
    <row r="42" customFormat="1" x14ac:dyDescent="0.2"/>
    <row r="43" customFormat="1" x14ac:dyDescent="0.2"/>
    <row r="44" customFormat="1" x14ac:dyDescent="0.2"/>
    <row r="45" customFormat="1" x14ac:dyDescent="0.2"/>
    <row r="46" customFormat="1" x14ac:dyDescent="0.2"/>
    <row r="47" customFormat="1" x14ac:dyDescent="0.2"/>
    <row r="48" customFormat="1" x14ac:dyDescent="0.2"/>
    <row r="49" customFormat="1" x14ac:dyDescent="0.2"/>
    <row r="50" customFormat="1" x14ac:dyDescent="0.2"/>
    <row r="51" customFormat="1" x14ac:dyDescent="0.2"/>
  </sheetData>
  <mergeCells count="1">
    <mergeCell ref="A1:F1"/>
  </mergeCells>
  <conditionalFormatting sqref="C3:D17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3" r:id="rId1" xr:uid="{25410629-9926-A94A-8DEA-173796F462EF}"/>
    <hyperlink ref="D3" r:id="rId2" xr:uid="{51A86A37-4D80-C742-9F9D-DBAB1BBBF262}"/>
    <hyperlink ref="C4" r:id="rId3" xr:uid="{1BB26EAD-BC11-8F41-AAB4-2AB641D5E159}"/>
    <hyperlink ref="D4" r:id="rId4" xr:uid="{3C469BEB-F1C9-7E4E-B2C4-91B89BD3FBE0}"/>
    <hyperlink ref="C5" r:id="rId5" xr:uid="{4C4BB4C6-D7A9-5448-8D70-C170771329C2}"/>
    <hyperlink ref="D5" r:id="rId6" xr:uid="{DEB078E8-28BF-7C4E-8BEA-FF9AB7AE0B93}"/>
    <hyperlink ref="C6" r:id="rId7" xr:uid="{D5B568C3-87D4-A94C-949B-127BA6F87614}"/>
    <hyperlink ref="D6" r:id="rId8" xr:uid="{B15C33EF-691B-9D4F-A3BC-9B3982227CDE}"/>
    <hyperlink ref="C7" r:id="rId9" xr:uid="{36088FEC-E769-0C44-8A49-92B2647BFB83}"/>
    <hyperlink ref="D7" r:id="rId10" xr:uid="{2C94AEC3-3E53-294C-B1AB-F84AE5BC1D80}"/>
    <hyperlink ref="C8" r:id="rId11" xr:uid="{06F0413F-F712-AC4C-9F0E-13F202CC7B6A}"/>
    <hyperlink ref="D8" r:id="rId12" xr:uid="{8A75058B-1B7E-3F4D-BB4A-94700B5E83DD}"/>
    <hyperlink ref="C9" r:id="rId13" xr:uid="{8A56B0FC-40A7-E94A-8D95-B9CBC050B784}"/>
    <hyperlink ref="D9" r:id="rId14" xr:uid="{5C3A2765-3BEE-7042-92FE-EF34ADA8D968}"/>
    <hyperlink ref="C10" r:id="rId15" xr:uid="{FBFCCA03-69E4-CB41-B7FB-3382EF84E574}"/>
    <hyperlink ref="D10" r:id="rId16" xr:uid="{15DBDF7B-7D4A-C541-9657-A8CFCC3FF71E}"/>
    <hyperlink ref="C11" r:id="rId17" xr:uid="{E41F4D2A-B475-114E-BBB7-42E522418218}"/>
    <hyperlink ref="D11" r:id="rId18" xr:uid="{259D3AFB-D92F-B444-A10A-6756580F9930}"/>
    <hyperlink ref="C13" r:id="rId19" xr:uid="{EF75B0D6-8328-8F4C-9AE8-9ECF606C459A}"/>
    <hyperlink ref="D13" r:id="rId20" xr:uid="{1C5CCE95-3106-CB4E-A846-1F7787B725D0}"/>
    <hyperlink ref="C14" r:id="rId21" xr:uid="{FEF1C916-BC48-A443-81A8-28247F42A2A2}"/>
    <hyperlink ref="D14" r:id="rId22" xr:uid="{D854AB63-19A5-6745-8468-B6C1D632F760}"/>
    <hyperlink ref="C15" r:id="rId23" xr:uid="{1080BC69-4EDF-6841-9B5B-F8B92C46F498}"/>
    <hyperlink ref="D15" r:id="rId24" xr:uid="{7CCA3E16-A9BC-0E44-AFF4-0DD5D6BAF56D}"/>
    <hyperlink ref="C16" r:id="rId25" xr:uid="{FCA2E2D6-0ED8-F347-A02E-366EE169C5CD}"/>
    <hyperlink ref="D16" r:id="rId26" xr:uid="{70AE9A16-25BE-FE40-808F-6E47A2F5FCA9}"/>
    <hyperlink ref="C17" r:id="rId27" xr:uid="{BEC67237-B25D-0147-BB2F-633884A6E50D}"/>
    <hyperlink ref="D17" r:id="rId28" xr:uid="{DEE84DE1-B608-0A4F-8CB0-2A4C8BACB00A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12" activePane="bottomLeft" state="frozen"/>
      <selection pane="bottomLeft" activeCell="B6" sqref="B6"/>
    </sheetView>
  </sheetViews>
  <sheetFormatPr baseColWidth="10" defaultColWidth="8.83203125" defaultRowHeight="15" x14ac:dyDescent="0.2"/>
  <cols>
    <col min="1" max="1" width="4.83203125" style="15" customWidth="1"/>
    <col min="2" max="2" width="30.83203125" bestFit="1" customWidth="1"/>
    <col min="3" max="4" width="7.5" style="15" customWidth="1"/>
    <col min="5" max="5" width="9.1640625" bestFit="1" customWidth="1"/>
    <col min="6" max="6" width="11.83203125" style="15" bestFit="1" customWidth="1"/>
  </cols>
  <sheetData>
    <row r="1" spans="1:6" ht="30" customHeight="1" x14ac:dyDescent="0.2">
      <c r="A1" s="153" t="s">
        <v>245</v>
      </c>
      <c r="B1" s="154"/>
      <c r="C1" s="154"/>
      <c r="D1" s="154"/>
      <c r="E1" s="154"/>
      <c r="F1" s="155"/>
    </row>
    <row r="2" spans="1:6" ht="22" customHeight="1" thickBot="1" x14ac:dyDescent="0.25">
      <c r="A2" s="71" t="s">
        <v>242</v>
      </c>
      <c r="B2" s="72" t="s">
        <v>1</v>
      </c>
      <c r="C2" s="72" t="s">
        <v>2</v>
      </c>
      <c r="D2" s="72" t="s">
        <v>3</v>
      </c>
      <c r="E2" s="72" t="s">
        <v>243</v>
      </c>
      <c r="F2" s="73" t="s">
        <v>6</v>
      </c>
    </row>
    <row r="3" spans="1:6" ht="22" customHeight="1" x14ac:dyDescent="0.2">
      <c r="A3" s="74">
        <v>1</v>
      </c>
      <c r="B3" s="75" t="s">
        <v>49</v>
      </c>
      <c r="C3" s="76" t="s">
        <v>2</v>
      </c>
      <c r="D3" s="77" t="s">
        <v>3</v>
      </c>
      <c r="E3" s="75" t="s">
        <v>31</v>
      </c>
      <c r="F3" s="78">
        <v>2.1875000000000002E-3</v>
      </c>
    </row>
    <row r="4" spans="1:6" ht="22" customHeight="1" x14ac:dyDescent="0.2">
      <c r="A4" s="79">
        <v>2</v>
      </c>
      <c r="B4" s="80" t="s">
        <v>116</v>
      </c>
      <c r="C4" s="81" t="s">
        <v>2</v>
      </c>
      <c r="D4" s="82" t="s">
        <v>3</v>
      </c>
      <c r="E4" s="80" t="s">
        <v>36</v>
      </c>
      <c r="F4" s="70">
        <v>2.2569444444444399E-3</v>
      </c>
    </row>
    <row r="5" spans="1:6" ht="22" customHeight="1" x14ac:dyDescent="0.2">
      <c r="A5" s="79">
        <v>3</v>
      </c>
      <c r="B5" s="80" t="s">
        <v>87</v>
      </c>
      <c r="C5" s="81" t="s">
        <v>2</v>
      </c>
      <c r="D5" s="82" t="s">
        <v>3</v>
      </c>
      <c r="E5" s="80" t="s">
        <v>31</v>
      </c>
      <c r="F5" s="70">
        <v>2.6504629629629599E-3</v>
      </c>
    </row>
    <row r="6" spans="1:6" ht="22" customHeight="1" x14ac:dyDescent="0.2">
      <c r="A6" s="79">
        <v>4</v>
      </c>
      <c r="B6" s="80" t="s">
        <v>120</v>
      </c>
      <c r="C6" s="81" t="s">
        <v>2</v>
      </c>
      <c r="D6" s="82" t="s">
        <v>3</v>
      </c>
      <c r="E6" s="80" t="s">
        <v>31</v>
      </c>
      <c r="F6" s="70">
        <v>2.0833333333333298E-3</v>
      </c>
    </row>
    <row r="7" spans="1:6" ht="22" customHeight="1" x14ac:dyDescent="0.2">
      <c r="A7" s="79">
        <v>5</v>
      </c>
      <c r="B7" s="80" t="s">
        <v>92</v>
      </c>
      <c r="C7" s="81" t="s">
        <v>2</v>
      </c>
      <c r="D7" s="82" t="s">
        <v>3</v>
      </c>
      <c r="E7" s="80" t="s">
        <v>36</v>
      </c>
      <c r="F7" s="70">
        <v>2.04861111111111E-3</v>
      </c>
    </row>
    <row r="8" spans="1:6" ht="22" customHeight="1" x14ac:dyDescent="0.2">
      <c r="A8" s="79">
        <v>6</v>
      </c>
      <c r="B8" s="80" t="s">
        <v>44</v>
      </c>
      <c r="C8" s="81" t="s">
        <v>2</v>
      </c>
      <c r="D8" s="82" t="s">
        <v>3</v>
      </c>
      <c r="E8" s="80" t="s">
        <v>31</v>
      </c>
      <c r="F8" s="70">
        <v>3.4143518518518498E-3</v>
      </c>
    </row>
    <row r="9" spans="1:6" ht="22" customHeight="1" x14ac:dyDescent="0.2">
      <c r="A9" s="79">
        <v>7</v>
      </c>
      <c r="B9" s="80" t="s">
        <v>65</v>
      </c>
      <c r="C9" s="81" t="s">
        <v>2</v>
      </c>
      <c r="D9" s="82" t="s">
        <v>3</v>
      </c>
      <c r="E9" s="80" t="s">
        <v>36</v>
      </c>
      <c r="F9" s="70">
        <v>2.48842592592593E-3</v>
      </c>
    </row>
    <row r="10" spans="1:6" ht="22" customHeight="1" x14ac:dyDescent="0.2">
      <c r="A10" s="79">
        <v>8</v>
      </c>
      <c r="B10" s="80" t="s">
        <v>94</v>
      </c>
      <c r="C10" s="81" t="s">
        <v>2</v>
      </c>
      <c r="D10" s="82" t="s">
        <v>3</v>
      </c>
      <c r="E10" s="80" t="s">
        <v>39</v>
      </c>
      <c r="F10" s="70">
        <v>3.59953703703704E-3</v>
      </c>
    </row>
    <row r="11" spans="1:6" ht="22" customHeight="1" x14ac:dyDescent="0.2">
      <c r="A11" s="79">
        <v>9</v>
      </c>
      <c r="B11" s="80" t="s">
        <v>127</v>
      </c>
      <c r="C11" s="81" t="s">
        <v>2</v>
      </c>
      <c r="D11" s="82" t="s">
        <v>3</v>
      </c>
      <c r="E11" s="80" t="s">
        <v>31</v>
      </c>
      <c r="F11" s="70">
        <v>2.0949074074074099E-3</v>
      </c>
    </row>
    <row r="12" spans="1:6" ht="22" customHeight="1" x14ac:dyDescent="0.2">
      <c r="A12" s="79">
        <v>10</v>
      </c>
      <c r="B12" s="80" t="s">
        <v>246</v>
      </c>
      <c r="C12" s="83" t="s">
        <v>2</v>
      </c>
      <c r="D12" s="84" t="s">
        <v>3</v>
      </c>
      <c r="E12" s="80" t="s">
        <v>39</v>
      </c>
      <c r="F12" s="70">
        <v>2.5810185185185198E-3</v>
      </c>
    </row>
    <row r="13" spans="1:6" ht="22" customHeight="1" x14ac:dyDescent="0.2">
      <c r="A13" s="79">
        <v>11</v>
      </c>
      <c r="B13" s="80" t="s">
        <v>90</v>
      </c>
      <c r="C13" s="81" t="s">
        <v>2</v>
      </c>
      <c r="D13" s="82" t="s">
        <v>3</v>
      </c>
      <c r="E13" s="80" t="s">
        <v>36</v>
      </c>
      <c r="F13" s="70">
        <v>2.8587962962962998E-3</v>
      </c>
    </row>
    <row r="14" spans="1:6" ht="22" customHeight="1" x14ac:dyDescent="0.2">
      <c r="A14" s="79">
        <v>12</v>
      </c>
      <c r="B14" s="80" t="s">
        <v>70</v>
      </c>
      <c r="C14" s="81" t="s">
        <v>2</v>
      </c>
      <c r="D14" s="82" t="s">
        <v>3</v>
      </c>
      <c r="E14" s="80" t="s">
        <v>31</v>
      </c>
      <c r="F14" s="70">
        <v>2.4305555555555599E-3</v>
      </c>
    </row>
    <row r="15" spans="1:6" ht="22" customHeight="1" x14ac:dyDescent="0.2">
      <c r="A15" s="79">
        <v>13</v>
      </c>
      <c r="B15" s="80" t="s">
        <v>89</v>
      </c>
      <c r="C15" s="81" t="s">
        <v>2</v>
      </c>
      <c r="D15" s="82" t="s">
        <v>3</v>
      </c>
      <c r="E15" s="80" t="s">
        <v>48</v>
      </c>
      <c r="F15" s="70">
        <v>3.04398148148148E-3</v>
      </c>
    </row>
    <row r="16" spans="1:6" ht="22" customHeight="1" x14ac:dyDescent="0.2">
      <c r="A16" s="79">
        <v>14</v>
      </c>
      <c r="B16" s="80" t="s">
        <v>123</v>
      </c>
      <c r="C16" s="81" t="s">
        <v>2</v>
      </c>
      <c r="D16" s="82" t="s">
        <v>3</v>
      </c>
      <c r="E16" s="80" t="s">
        <v>36</v>
      </c>
      <c r="F16" s="70">
        <v>3.32175925925926E-3</v>
      </c>
    </row>
    <row r="17" spans="1:6" ht="22" customHeight="1" x14ac:dyDescent="0.2">
      <c r="A17" s="156" t="s">
        <v>247</v>
      </c>
      <c r="B17" s="157"/>
      <c r="C17" s="157"/>
      <c r="D17" s="157"/>
      <c r="E17" s="157"/>
      <c r="F17" s="158"/>
    </row>
    <row r="18" spans="1:6" ht="22" customHeight="1" x14ac:dyDescent="0.2">
      <c r="A18" s="79">
        <v>15</v>
      </c>
      <c r="B18" s="80" t="s">
        <v>41</v>
      </c>
      <c r="C18" s="85" t="s">
        <v>2</v>
      </c>
      <c r="D18" s="86" t="s">
        <v>3</v>
      </c>
      <c r="E18" s="80" t="s">
        <v>39</v>
      </c>
      <c r="F18" s="70">
        <v>2.71990740740741E-3</v>
      </c>
    </row>
    <row r="19" spans="1:6" ht="17" customHeight="1" x14ac:dyDescent="0.2">
      <c r="A19" s="87">
        <v>16</v>
      </c>
      <c r="B19" s="80" t="s">
        <v>63</v>
      </c>
      <c r="C19" s="81" t="s">
        <v>2</v>
      </c>
      <c r="D19" s="82" t="s">
        <v>3</v>
      </c>
      <c r="E19" s="80" t="s">
        <v>31</v>
      </c>
      <c r="F19" s="70">
        <v>2.7893518518518502E-3</v>
      </c>
    </row>
    <row r="20" spans="1:6" ht="22" customHeight="1" x14ac:dyDescent="0.2">
      <c r="A20" s="88">
        <v>17</v>
      </c>
      <c r="B20" s="80" t="s">
        <v>106</v>
      </c>
      <c r="C20" s="81" t="s">
        <v>2</v>
      </c>
      <c r="D20" s="82" t="s">
        <v>3</v>
      </c>
      <c r="E20" s="80" t="s">
        <v>36</v>
      </c>
      <c r="F20" s="70">
        <v>3.3680555555555599E-3</v>
      </c>
    </row>
    <row r="21" spans="1:6" ht="17" customHeight="1" x14ac:dyDescent="0.2">
      <c r="A21" s="79">
        <v>18</v>
      </c>
      <c r="B21" s="80" t="s">
        <v>99</v>
      </c>
      <c r="C21" s="81" t="s">
        <v>2</v>
      </c>
      <c r="D21" s="82" t="s">
        <v>3</v>
      </c>
      <c r="E21" s="80" t="s">
        <v>39</v>
      </c>
      <c r="F21" s="70">
        <v>2.9513888888888901E-3</v>
      </c>
    </row>
    <row r="22" spans="1:6" ht="17" customHeight="1" x14ac:dyDescent="0.2">
      <c r="A22" s="79">
        <v>19</v>
      </c>
      <c r="B22" s="80" t="s">
        <v>72</v>
      </c>
      <c r="C22" s="81" t="s">
        <v>2</v>
      </c>
      <c r="D22" s="82" t="s">
        <v>3</v>
      </c>
      <c r="E22" s="80" t="s">
        <v>36</v>
      </c>
      <c r="F22" s="70">
        <v>2.60416666666667E-3</v>
      </c>
    </row>
    <row r="23" spans="1:6" ht="17" customHeight="1" x14ac:dyDescent="0.2">
      <c r="A23" s="79">
        <v>20</v>
      </c>
      <c r="B23" s="80" t="s">
        <v>97</v>
      </c>
      <c r="C23" s="81" t="s">
        <v>2</v>
      </c>
      <c r="D23" s="82" t="s">
        <v>3</v>
      </c>
      <c r="E23" s="80" t="s">
        <v>31</v>
      </c>
      <c r="F23" s="70">
        <v>3.2291666666666701E-3</v>
      </c>
    </row>
    <row r="24" spans="1:6" ht="17" customHeight="1" x14ac:dyDescent="0.2">
      <c r="A24" s="79">
        <v>21</v>
      </c>
      <c r="B24" s="80" t="s">
        <v>54</v>
      </c>
      <c r="C24" s="81" t="s">
        <v>2</v>
      </c>
      <c r="D24" s="82" t="s">
        <v>3</v>
      </c>
      <c r="E24" s="80" t="s">
        <v>39</v>
      </c>
      <c r="F24" s="89">
        <v>2.7430555555555602E-3</v>
      </c>
    </row>
    <row r="25" spans="1:6" ht="17" customHeight="1" x14ac:dyDescent="0.2">
      <c r="A25" s="79">
        <v>22</v>
      </c>
      <c r="B25" s="80" t="s">
        <v>108</v>
      </c>
      <c r="C25" s="81" t="s">
        <v>2</v>
      </c>
      <c r="D25" s="82" t="s">
        <v>3</v>
      </c>
      <c r="E25" s="80" t="s">
        <v>36</v>
      </c>
      <c r="F25" s="70">
        <v>2.60416666666667E-3</v>
      </c>
    </row>
    <row r="26" spans="1:6" ht="17" customHeight="1" x14ac:dyDescent="0.2">
      <c r="A26" s="79">
        <v>23</v>
      </c>
      <c r="B26" s="80" t="s">
        <v>85</v>
      </c>
      <c r="C26" s="81" t="s">
        <v>2</v>
      </c>
      <c r="D26" s="82" t="s">
        <v>3</v>
      </c>
      <c r="E26" s="80" t="s">
        <v>48</v>
      </c>
      <c r="F26" s="70">
        <v>1.9791666666666699E-3</v>
      </c>
    </row>
    <row r="27" spans="1:6" ht="17" customHeight="1" x14ac:dyDescent="0.2">
      <c r="A27" s="79">
        <v>24</v>
      </c>
      <c r="B27" s="80" t="s">
        <v>78</v>
      </c>
      <c r="C27" s="81" t="s">
        <v>2</v>
      </c>
      <c r="D27" s="82" t="s">
        <v>3</v>
      </c>
      <c r="E27" s="80" t="s">
        <v>39</v>
      </c>
      <c r="F27" s="70">
        <v>2.5810185185185198E-3</v>
      </c>
    </row>
    <row r="28" spans="1:6" ht="17" customHeight="1" x14ac:dyDescent="0.2">
      <c r="A28" s="79">
        <v>25</v>
      </c>
      <c r="B28" s="93" t="s">
        <v>74</v>
      </c>
      <c r="C28" s="94" t="s">
        <v>2</v>
      </c>
      <c r="D28" s="95" t="s">
        <v>3</v>
      </c>
      <c r="E28" s="93" t="s">
        <v>39</v>
      </c>
      <c r="F28" s="96">
        <v>4.6874999999999998E-3</v>
      </c>
    </row>
    <row r="29" spans="1:6" ht="17" customHeight="1" thickBot="1" x14ac:dyDescent="0.25">
      <c r="A29" s="79">
        <v>26</v>
      </c>
      <c r="B29" s="80" t="s">
        <v>103</v>
      </c>
      <c r="C29" s="81" t="s">
        <v>2</v>
      </c>
      <c r="D29" s="82" t="s">
        <v>3</v>
      </c>
      <c r="E29" s="80" t="s">
        <v>31</v>
      </c>
      <c r="F29" s="70">
        <v>5.9606481481481498E-3</v>
      </c>
    </row>
    <row r="30" spans="1:6" ht="17" customHeight="1" thickBot="1" x14ac:dyDescent="0.25">
      <c r="A30" s="90"/>
      <c r="B30" s="91" t="s">
        <v>244</v>
      </c>
      <c r="C30" s="91"/>
      <c r="D30" s="91"/>
      <c r="E30" s="91"/>
      <c r="F30" s="92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">
      <c r="A1" s="159" t="s">
        <v>266</v>
      </c>
      <c r="B1" s="160"/>
      <c r="C1" s="160"/>
      <c r="D1" s="160"/>
      <c r="E1" s="160"/>
      <c r="F1" s="161"/>
    </row>
    <row r="2" spans="1:6" ht="22" customHeight="1" x14ac:dyDescent="0.2">
      <c r="A2" s="59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60" t="s">
        <v>6</v>
      </c>
    </row>
    <row r="3" spans="1:6" ht="22" customHeight="1" x14ac:dyDescent="0.2">
      <c r="A3" s="61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62">
        <v>2.1874999999999998E-3</v>
      </c>
    </row>
    <row r="4" spans="1:6" ht="22" customHeight="1" x14ac:dyDescent="0.2">
      <c r="A4" s="61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62">
        <v>2.9513888888888888E-3</v>
      </c>
    </row>
    <row r="5" spans="1:6" ht="22" customHeight="1" x14ac:dyDescent="0.2">
      <c r="A5" s="61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62">
        <v>2.6041666666666665E-3</v>
      </c>
    </row>
    <row r="6" spans="1:6" ht="22" customHeight="1" x14ac:dyDescent="0.2">
      <c r="A6" s="61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62">
        <v>2.5810185185185185E-3</v>
      </c>
    </row>
    <row r="7" spans="1:6" ht="22" customHeight="1" x14ac:dyDescent="0.2">
      <c r="A7" s="61">
        <v>5</v>
      </c>
      <c r="B7" s="20" t="s">
        <v>70</v>
      </c>
      <c r="C7" s="33" t="s">
        <v>2</v>
      </c>
      <c r="D7" s="33" t="s">
        <v>3</v>
      </c>
      <c r="E7" s="20" t="s">
        <v>31</v>
      </c>
      <c r="F7" s="62">
        <v>2.4305555555555556E-3</v>
      </c>
    </row>
    <row r="8" spans="1:6" ht="22" customHeight="1" x14ac:dyDescent="0.2">
      <c r="A8" s="61">
        <v>6</v>
      </c>
      <c r="B8" s="20" t="s">
        <v>90</v>
      </c>
      <c r="C8" s="33" t="s">
        <v>2</v>
      </c>
      <c r="D8" s="33" t="s">
        <v>3</v>
      </c>
      <c r="E8" s="20" t="s">
        <v>36</v>
      </c>
      <c r="F8" s="62">
        <v>2.8587962962962963E-3</v>
      </c>
    </row>
    <row r="9" spans="1:6" ht="22" customHeight="1" x14ac:dyDescent="0.2">
      <c r="A9" s="61">
        <v>7</v>
      </c>
      <c r="B9" s="20" t="s">
        <v>44</v>
      </c>
      <c r="C9" s="33" t="s">
        <v>2</v>
      </c>
      <c r="D9" s="33" t="s">
        <v>3</v>
      </c>
      <c r="E9" s="20" t="s">
        <v>31</v>
      </c>
      <c r="F9" s="62">
        <v>3.414351851851852E-3</v>
      </c>
    </row>
    <row r="10" spans="1:6" ht="22" customHeight="1" x14ac:dyDescent="0.2">
      <c r="A10" s="61">
        <v>8</v>
      </c>
      <c r="B10" s="20" t="s">
        <v>82</v>
      </c>
      <c r="C10" s="33" t="s">
        <v>2</v>
      </c>
      <c r="D10" s="33"/>
      <c r="E10" s="20" t="s">
        <v>36</v>
      </c>
      <c r="F10" s="62">
        <f>VLOOKUP(B10,'Song Tracker'!$A$3:$F$48,6,FALSE)</f>
        <v>3.8541666666666668E-3</v>
      </c>
    </row>
    <row r="11" spans="1:6" ht="22" customHeight="1" x14ac:dyDescent="0.2">
      <c r="A11" s="61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62">
        <v>3.5995370370370369E-3</v>
      </c>
    </row>
    <row r="12" spans="1:6" ht="22" customHeight="1" x14ac:dyDescent="0.2">
      <c r="A12" s="61">
        <v>10</v>
      </c>
      <c r="B12" s="20" t="s">
        <v>63</v>
      </c>
      <c r="C12" s="33" t="s">
        <v>2</v>
      </c>
      <c r="D12" s="33" t="s">
        <v>3</v>
      </c>
      <c r="E12" s="20" t="s">
        <v>31</v>
      </c>
      <c r="F12" s="62">
        <v>2.7893518518518519E-3</v>
      </c>
    </row>
    <row r="13" spans="1:6" ht="22" customHeight="1" x14ac:dyDescent="0.2">
      <c r="A13" s="61">
        <v>11</v>
      </c>
      <c r="B13" s="20" t="s">
        <v>106</v>
      </c>
      <c r="C13" s="33" t="s">
        <v>2</v>
      </c>
      <c r="D13" s="33" t="s">
        <v>3</v>
      </c>
      <c r="E13" s="20" t="s">
        <v>36</v>
      </c>
      <c r="F13" s="62">
        <v>3.3680555555555556E-3</v>
      </c>
    </row>
    <row r="14" spans="1:6" ht="22" customHeight="1" x14ac:dyDescent="0.2">
      <c r="A14" s="61">
        <v>12</v>
      </c>
      <c r="B14" s="20" t="s">
        <v>246</v>
      </c>
      <c r="C14" s="33" t="s">
        <v>2</v>
      </c>
      <c r="D14" s="33" t="s">
        <v>3</v>
      </c>
      <c r="E14" s="20" t="s">
        <v>39</v>
      </c>
      <c r="F14" s="62">
        <v>2.5810185185185185E-3</v>
      </c>
    </row>
    <row r="15" spans="1:6" ht="22" customHeight="1" x14ac:dyDescent="0.2">
      <c r="A15" s="61">
        <v>13</v>
      </c>
      <c r="B15" s="20" t="s">
        <v>108</v>
      </c>
      <c r="C15" s="33" t="s">
        <v>2</v>
      </c>
      <c r="D15" s="33" t="s">
        <v>3</v>
      </c>
      <c r="E15" s="20" t="s">
        <v>36</v>
      </c>
      <c r="F15" s="62">
        <v>2.6041666666666665E-3</v>
      </c>
    </row>
    <row r="16" spans="1:6" ht="22" customHeight="1" x14ac:dyDescent="0.2">
      <c r="A16" s="61">
        <v>14</v>
      </c>
      <c r="B16" s="20" t="s">
        <v>54</v>
      </c>
      <c r="C16" s="33" t="s">
        <v>2</v>
      </c>
      <c r="D16" s="33" t="s">
        <v>3</v>
      </c>
      <c r="E16" s="20" t="s">
        <v>39</v>
      </c>
      <c r="F16" s="62">
        <v>2.7430555555555554E-3</v>
      </c>
    </row>
    <row r="17" spans="1:6" ht="22" customHeight="1" x14ac:dyDescent="0.2">
      <c r="A17" s="61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62">
        <v>2.0949074074074073E-3</v>
      </c>
    </row>
    <row r="18" spans="1:6" ht="22" customHeight="1" x14ac:dyDescent="0.2">
      <c r="A18" s="61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62">
        <v>3.3217592592592595E-3</v>
      </c>
    </row>
    <row r="19" spans="1:6" x14ac:dyDescent="0.2">
      <c r="A19" s="63"/>
      <c r="B19" s="19"/>
      <c r="C19" s="26"/>
      <c r="D19" s="26"/>
      <c r="E19" s="19"/>
      <c r="F19" s="64"/>
    </row>
    <row r="20" spans="1:6" ht="22" customHeight="1" thickBot="1" x14ac:dyDescent="0.25">
      <c r="A20" s="65"/>
      <c r="B20" s="66" t="s">
        <v>244</v>
      </c>
      <c r="C20" s="67"/>
      <c r="D20" s="67"/>
      <c r="E20" s="66"/>
      <c r="F20" s="68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248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 t="s">
        <v>249</v>
      </c>
      <c r="B3" s="20" t="s">
        <v>104</v>
      </c>
      <c r="C3" s="33" t="s">
        <v>2</v>
      </c>
      <c r="D3" s="33" t="s">
        <v>3</v>
      </c>
      <c r="E3" s="20" t="s">
        <v>36</v>
      </c>
      <c r="F3" s="57">
        <f>VLOOKUP(B3,'Song Tracker'!$A$3:$F$48,6,FALSE)</f>
        <v>2.4305555555555556E-3</v>
      </c>
    </row>
    <row r="4" spans="1:6" ht="22" customHeight="1" x14ac:dyDescent="0.2">
      <c r="A4" s="35">
        <v>1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 x14ac:dyDescent="0.2">
      <c r="A5" s="35">
        <v>2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3</v>
      </c>
      <c r="B6" s="20" t="s">
        <v>72</v>
      </c>
      <c r="C6" s="33" t="s">
        <v>2</v>
      </c>
      <c r="D6" s="33" t="s">
        <v>3</v>
      </c>
      <c r="E6" s="20" t="s">
        <v>36</v>
      </c>
      <c r="F6" s="57">
        <v>2.6041666666666665E-3</v>
      </c>
    </row>
    <row r="7" spans="1:6" ht="22" customHeight="1" x14ac:dyDescent="0.2">
      <c r="A7" s="35">
        <v>4</v>
      </c>
      <c r="B7" s="20" t="s">
        <v>78</v>
      </c>
      <c r="C7" s="33" t="s">
        <v>2</v>
      </c>
      <c r="D7" s="33" t="s">
        <v>3</v>
      </c>
      <c r="E7" s="20" t="s">
        <v>39</v>
      </c>
      <c r="F7" s="57">
        <v>2.5810185185185185E-3</v>
      </c>
    </row>
    <row r="8" spans="1:6" ht="22" customHeight="1" x14ac:dyDescent="0.2">
      <c r="A8" s="35">
        <v>5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 x14ac:dyDescent="0.2">
      <c r="A9" s="35">
        <v>6</v>
      </c>
      <c r="B9" s="20" t="s">
        <v>90</v>
      </c>
      <c r="C9" s="33" t="s">
        <v>2</v>
      </c>
      <c r="D9" s="33" t="s">
        <v>3</v>
      </c>
      <c r="E9" s="20" t="s">
        <v>36</v>
      </c>
      <c r="F9" s="57">
        <v>2.8587962962962963E-3</v>
      </c>
    </row>
    <row r="10" spans="1:6" ht="22" customHeight="1" x14ac:dyDescent="0.2">
      <c r="A10" s="35">
        <v>7</v>
      </c>
      <c r="B10" s="20" t="s">
        <v>44</v>
      </c>
      <c r="C10" s="33" t="s">
        <v>2</v>
      </c>
      <c r="D10" s="33" t="s">
        <v>3</v>
      </c>
      <c r="E10" s="20" t="s">
        <v>31</v>
      </c>
      <c r="F10" s="57">
        <v>3.414351851851852E-3</v>
      </c>
    </row>
    <row r="11" spans="1:6" ht="22" customHeight="1" x14ac:dyDescent="0.2">
      <c r="A11" s="35"/>
      <c r="B11" s="20"/>
      <c r="C11" s="33"/>
      <c r="D11" s="33"/>
      <c r="E11" s="20"/>
      <c r="F11" s="57"/>
    </row>
    <row r="12" spans="1:6" ht="22" customHeight="1" x14ac:dyDescent="0.2">
      <c r="A12" s="35">
        <v>9</v>
      </c>
      <c r="B12" s="20" t="s">
        <v>94</v>
      </c>
      <c r="C12" s="33" t="s">
        <v>2</v>
      </c>
      <c r="D12" s="33" t="s">
        <v>3</v>
      </c>
      <c r="E12" s="20" t="s">
        <v>39</v>
      </c>
      <c r="F12" s="57">
        <v>3.5995370370370369E-3</v>
      </c>
    </row>
    <row r="13" spans="1:6" ht="22" customHeight="1" x14ac:dyDescent="0.2">
      <c r="A13" s="35">
        <v>10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 x14ac:dyDescent="0.2">
      <c r="A14" s="35">
        <v>11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 x14ac:dyDescent="0.2">
      <c r="A15" s="35">
        <v>12</v>
      </c>
      <c r="B15" s="20" t="s">
        <v>246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 x14ac:dyDescent="0.2">
      <c r="A16" s="35">
        <v>13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 x14ac:dyDescent="0.2">
      <c r="A17" s="35">
        <v>14</v>
      </c>
      <c r="B17" s="20" t="s">
        <v>54</v>
      </c>
      <c r="C17" s="33" t="s">
        <v>2</v>
      </c>
      <c r="D17" s="33" t="s">
        <v>3</v>
      </c>
      <c r="E17" s="20" t="s">
        <v>39</v>
      </c>
      <c r="F17" s="57">
        <v>2.7430555555555554E-3</v>
      </c>
    </row>
    <row r="18" spans="1:6" ht="22" customHeight="1" x14ac:dyDescent="0.2">
      <c r="A18" s="35">
        <v>15</v>
      </c>
      <c r="B18" s="20" t="s">
        <v>127</v>
      </c>
      <c r="C18" s="33" t="s">
        <v>2</v>
      </c>
      <c r="D18" s="33" t="s">
        <v>3</v>
      </c>
      <c r="E18" s="20" t="s">
        <v>31</v>
      </c>
      <c r="F18" s="57">
        <v>2.0949074074074073E-3</v>
      </c>
    </row>
    <row r="19" spans="1:6" ht="22" customHeight="1" x14ac:dyDescent="0.2">
      <c r="A19" s="35">
        <v>16</v>
      </c>
      <c r="B19" s="20" t="s">
        <v>123</v>
      </c>
      <c r="C19" s="33" t="s">
        <v>2</v>
      </c>
      <c r="D19" s="33" t="s">
        <v>3</v>
      </c>
      <c r="E19" s="20" t="s">
        <v>36</v>
      </c>
      <c r="F19" s="57">
        <v>3.3217592592592595E-3</v>
      </c>
    </row>
    <row r="20" spans="1:6" x14ac:dyDescent="0.2">
      <c r="A20" s="24"/>
      <c r="B20" s="19"/>
      <c r="C20" s="26"/>
      <c r="D20" s="26"/>
      <c r="E20" s="19"/>
      <c r="F20" s="58"/>
    </row>
    <row r="21" spans="1:6" ht="22" customHeight="1" thickBot="1" x14ac:dyDescent="0.25">
      <c r="A21" s="29"/>
      <c r="B21" s="30" t="s">
        <v>244</v>
      </c>
      <c r="C21" s="31"/>
      <c r="D21" s="31"/>
      <c r="E21" s="30"/>
      <c r="F21" s="32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250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 x14ac:dyDescent="0.2">
      <c r="A5" s="35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57">
        <v>2.6041666666666665E-3</v>
      </c>
    </row>
    <row r="6" spans="1:6" ht="22" customHeight="1" x14ac:dyDescent="0.2">
      <c r="A6" s="35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57">
        <v>2.5810185185185185E-3</v>
      </c>
    </row>
    <row r="7" spans="1:6" ht="22" customHeight="1" x14ac:dyDescent="0.2">
      <c r="A7" s="35">
        <v>5</v>
      </c>
      <c r="B7" s="20" t="s">
        <v>44</v>
      </c>
      <c r="C7" s="33" t="s">
        <v>2</v>
      </c>
      <c r="D7" s="33" t="s">
        <v>3</v>
      </c>
      <c r="E7" s="20" t="s">
        <v>31</v>
      </c>
      <c r="F7" s="57">
        <v>3.414351851851852E-3</v>
      </c>
    </row>
    <row r="8" spans="1:6" ht="22" customHeight="1" x14ac:dyDescent="0.2">
      <c r="A8" s="35">
        <v>6</v>
      </c>
      <c r="B8" s="20" t="s">
        <v>85</v>
      </c>
      <c r="C8" s="33" t="s">
        <v>2</v>
      </c>
      <c r="D8" s="33" t="s">
        <v>3</v>
      </c>
      <c r="E8" s="20" t="s">
        <v>48</v>
      </c>
      <c r="F8" s="57">
        <v>1.9791666666666668E-3</v>
      </c>
    </row>
    <row r="9" spans="1:6" ht="22" customHeight="1" x14ac:dyDescent="0.2">
      <c r="A9" s="35">
        <v>7</v>
      </c>
      <c r="B9" s="20" t="s">
        <v>94</v>
      </c>
      <c r="C9" s="33" t="s">
        <v>2</v>
      </c>
      <c r="D9" s="33" t="s">
        <v>3</v>
      </c>
      <c r="E9" s="20" t="s">
        <v>39</v>
      </c>
      <c r="F9" s="57">
        <v>3.5995370370370369E-3</v>
      </c>
    </row>
    <row r="10" spans="1:6" ht="22" customHeight="1" x14ac:dyDescent="0.2">
      <c r="A10" s="35">
        <v>8</v>
      </c>
      <c r="B10" s="20" t="s">
        <v>108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 x14ac:dyDescent="0.2">
      <c r="A11" s="35">
        <v>9</v>
      </c>
      <c r="B11" s="20" t="s">
        <v>54</v>
      </c>
      <c r="C11" s="33" t="s">
        <v>2</v>
      </c>
      <c r="D11" s="33" t="s">
        <v>3</v>
      </c>
      <c r="E11" s="20" t="s">
        <v>39</v>
      </c>
      <c r="F11" s="57">
        <v>2.7430555555555554E-3</v>
      </c>
    </row>
    <row r="12" spans="1:6" ht="22" customHeight="1" x14ac:dyDescent="0.2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 x14ac:dyDescent="0.2">
      <c r="A13" s="24"/>
      <c r="B13" s="19"/>
      <c r="C13" s="26"/>
      <c r="D13" s="26"/>
      <c r="E13" s="19"/>
      <c r="F13" s="58"/>
    </row>
    <row r="14" spans="1:6" ht="22" customHeight="1" thickBot="1" x14ac:dyDescent="0.25">
      <c r="A14" s="29"/>
      <c r="B14" s="30" t="s">
        <v>244</v>
      </c>
      <c r="C14" s="31"/>
      <c r="D14" s="31"/>
      <c r="E14" s="30"/>
      <c r="F14" s="32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 x14ac:dyDescent="0.2">
      <c r="A5" s="35">
        <v>3</v>
      </c>
      <c r="B5" s="20" t="s">
        <v>97</v>
      </c>
      <c r="C5" s="33" t="s">
        <v>2</v>
      </c>
      <c r="D5" s="33" t="s">
        <v>3</v>
      </c>
      <c r="E5" s="20" t="s">
        <v>31</v>
      </c>
      <c r="F5" s="57">
        <v>3.2291666666666666E-3</v>
      </c>
    </row>
    <row r="6" spans="1:6" ht="22" customHeight="1" x14ac:dyDescent="0.2">
      <c r="A6" s="35">
        <v>4</v>
      </c>
      <c r="B6" s="20" t="s">
        <v>85</v>
      </c>
      <c r="C6" s="33" t="s">
        <v>2</v>
      </c>
      <c r="D6" s="33" t="s">
        <v>3</v>
      </c>
      <c r="E6" s="20" t="s">
        <v>48</v>
      </c>
      <c r="F6" s="57">
        <v>1.9791666666666668E-3</v>
      </c>
    </row>
    <row r="7" spans="1:6" ht="22" customHeight="1" x14ac:dyDescent="0.2">
      <c r="A7" s="35">
        <v>5</v>
      </c>
      <c r="B7" s="20" t="s">
        <v>89</v>
      </c>
      <c r="C7" s="33" t="s">
        <v>2</v>
      </c>
      <c r="D7" s="33" t="s">
        <v>3</v>
      </c>
      <c r="E7" s="20" t="s">
        <v>48</v>
      </c>
      <c r="F7" s="57">
        <v>3.0439814814814817E-3</v>
      </c>
    </row>
    <row r="8" spans="1:6" ht="22" customHeight="1" x14ac:dyDescent="0.2">
      <c r="A8" s="35">
        <v>6</v>
      </c>
      <c r="B8" s="20" t="s">
        <v>54</v>
      </c>
      <c r="C8" s="33" t="s">
        <v>2</v>
      </c>
      <c r="D8" s="33" t="s">
        <v>3</v>
      </c>
      <c r="E8" s="20" t="s">
        <v>39</v>
      </c>
      <c r="F8" s="57">
        <v>2.7430555555555554E-3</v>
      </c>
    </row>
    <row r="9" spans="1:6" ht="22" customHeight="1" x14ac:dyDescent="0.2">
      <c r="A9" s="35">
        <v>7</v>
      </c>
      <c r="B9" s="20" t="s">
        <v>78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72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 x14ac:dyDescent="0.2">
      <c r="A11" s="35">
        <v>9</v>
      </c>
      <c r="B11" s="20" t="s">
        <v>67</v>
      </c>
      <c r="C11" s="33" t="s">
        <v>2</v>
      </c>
      <c r="D11" s="33" t="s">
        <v>3</v>
      </c>
      <c r="E11" s="20" t="s">
        <v>39</v>
      </c>
      <c r="F11" s="57">
        <v>1.9328703703703704E-3</v>
      </c>
    </row>
    <row r="12" spans="1:6" ht="22" customHeight="1" x14ac:dyDescent="0.2">
      <c r="A12" s="35">
        <v>10</v>
      </c>
      <c r="B12" s="20" t="s">
        <v>114</v>
      </c>
      <c r="C12" s="33" t="s">
        <v>2</v>
      </c>
      <c r="D12" s="33" t="s">
        <v>3</v>
      </c>
      <c r="E12" s="20" t="s">
        <v>36</v>
      </c>
      <c r="F12" s="57">
        <v>3.4606481481481485E-3</v>
      </c>
    </row>
    <row r="13" spans="1:6" ht="22" customHeight="1" x14ac:dyDescent="0.2">
      <c r="A13" s="35">
        <v>11</v>
      </c>
      <c r="B13" s="20" t="s">
        <v>94</v>
      </c>
      <c r="C13" s="33" t="s">
        <v>2</v>
      </c>
      <c r="D13" s="33" t="s">
        <v>3</v>
      </c>
      <c r="E13" s="20" t="s">
        <v>39</v>
      </c>
      <c r="F13" s="57">
        <v>3.5995370370370369E-3</v>
      </c>
    </row>
    <row r="14" spans="1:6" ht="22" customHeight="1" x14ac:dyDescent="0.2">
      <c r="A14" s="35">
        <v>12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 x14ac:dyDescent="0.2">
      <c r="A15" s="35">
        <v>13</v>
      </c>
      <c r="B15" s="20" t="s">
        <v>63</v>
      </c>
      <c r="C15" s="33" t="s">
        <v>2</v>
      </c>
      <c r="D15" s="33" t="s">
        <v>3</v>
      </c>
      <c r="E15" s="20" t="s">
        <v>31</v>
      </c>
      <c r="F15" s="57">
        <v>2.7893518518518519E-3</v>
      </c>
    </row>
    <row r="16" spans="1:6" ht="22" customHeight="1" x14ac:dyDescent="0.2">
      <c r="A16" s="35">
        <v>14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 x14ac:dyDescent="0.2">
      <c r="A17" s="35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57">
        <v>2.0949074074074073E-3</v>
      </c>
    </row>
    <row r="18" spans="1:6" ht="22" customHeight="1" x14ac:dyDescent="0.2">
      <c r="A18" s="35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57">
        <v>3.3217592592592595E-3</v>
      </c>
    </row>
    <row r="19" spans="1:6" ht="22" customHeight="1" x14ac:dyDescent="0.2">
      <c r="A19" s="35">
        <v>17</v>
      </c>
      <c r="B19" s="20" t="s">
        <v>116</v>
      </c>
      <c r="C19" s="33" t="s">
        <v>2</v>
      </c>
      <c r="D19" s="33" t="s">
        <v>3</v>
      </c>
      <c r="E19" s="20" t="s">
        <v>36</v>
      </c>
      <c r="F19" s="57">
        <v>2.2569444444444442E-3</v>
      </c>
    </row>
    <row r="20" spans="1:6" ht="22" customHeight="1" x14ac:dyDescent="0.2">
      <c r="A20" s="35">
        <v>18</v>
      </c>
      <c r="B20" s="20" t="s">
        <v>44</v>
      </c>
      <c r="C20" s="33" t="s">
        <v>2</v>
      </c>
      <c r="D20" s="33" t="s">
        <v>3</v>
      </c>
      <c r="E20" s="20" t="s">
        <v>31</v>
      </c>
      <c r="F20" s="57">
        <v>3.414351851851852E-3</v>
      </c>
    </row>
    <row r="21" spans="1:6" ht="22" customHeight="1" x14ac:dyDescent="0.2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 x14ac:dyDescent="0.2">
      <c r="A22" s="35">
        <v>20</v>
      </c>
      <c r="B22" s="20" t="s">
        <v>246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 x14ac:dyDescent="0.2">
      <c r="A23" s="35">
        <v>21</v>
      </c>
      <c r="B23" s="20" t="s">
        <v>82</v>
      </c>
      <c r="C23" s="33" t="s">
        <v>2</v>
      </c>
      <c r="D23" s="34"/>
      <c r="E23" s="20" t="s">
        <v>36</v>
      </c>
      <c r="F23" s="57">
        <v>3.8541666666666663E-3</v>
      </c>
    </row>
    <row r="24" spans="1:6" ht="22" customHeight="1" x14ac:dyDescent="0.2">
      <c r="A24" s="35">
        <v>22</v>
      </c>
      <c r="B24" s="20" t="s">
        <v>101</v>
      </c>
      <c r="C24" s="33" t="s">
        <v>2</v>
      </c>
      <c r="D24" s="33" t="s">
        <v>3</v>
      </c>
      <c r="E24" s="20" t="s">
        <v>31</v>
      </c>
      <c r="F24" s="57">
        <v>4.1319444444444442E-3</v>
      </c>
    </row>
    <row r="25" spans="1:6" ht="22" customHeight="1" x14ac:dyDescent="0.2">
      <c r="A25" s="35">
        <v>23</v>
      </c>
      <c r="B25" s="20" t="s">
        <v>92</v>
      </c>
      <c r="C25" s="33" t="s">
        <v>2</v>
      </c>
      <c r="D25" s="33" t="s">
        <v>3</v>
      </c>
      <c r="E25" s="20" t="s">
        <v>36</v>
      </c>
      <c r="F25" s="57">
        <v>2.0486111111111113E-3</v>
      </c>
    </row>
    <row r="26" spans="1:6" ht="22" customHeight="1" x14ac:dyDescent="0.2">
      <c r="A26" s="35">
        <v>24</v>
      </c>
      <c r="B26" s="20" t="s">
        <v>74</v>
      </c>
      <c r="C26" s="33" t="s">
        <v>2</v>
      </c>
      <c r="D26" s="33" t="s">
        <v>3</v>
      </c>
      <c r="E26" s="20" t="s">
        <v>39</v>
      </c>
      <c r="F26" s="57">
        <v>4.6874999999999998E-3</v>
      </c>
    </row>
    <row r="27" spans="1:6" ht="22" customHeight="1" x14ac:dyDescent="0.2">
      <c r="A27" s="35">
        <v>25</v>
      </c>
      <c r="B27" s="20" t="s">
        <v>46</v>
      </c>
      <c r="C27" s="33" t="s">
        <v>2</v>
      </c>
      <c r="D27" s="33" t="s">
        <v>3</v>
      </c>
      <c r="E27" s="20" t="s">
        <v>48</v>
      </c>
      <c r="F27" s="57">
        <v>1.7476851851851852E-3</v>
      </c>
    </row>
    <row r="28" spans="1:6" ht="22" customHeight="1" x14ac:dyDescent="0.2">
      <c r="A28" s="35">
        <v>26</v>
      </c>
      <c r="B28" s="20" t="s">
        <v>41</v>
      </c>
      <c r="C28" s="33" t="s">
        <v>2</v>
      </c>
      <c r="D28" s="33" t="s">
        <v>3</v>
      </c>
      <c r="E28" s="20" t="s">
        <v>39</v>
      </c>
      <c r="F28" s="57">
        <v>2.7199074074074074E-3</v>
      </c>
    </row>
    <row r="29" spans="1:6" ht="22" customHeight="1" x14ac:dyDescent="0.2">
      <c r="A29" s="35">
        <v>27</v>
      </c>
      <c r="B29" s="20" t="s">
        <v>90</v>
      </c>
      <c r="C29" s="33" t="s">
        <v>2</v>
      </c>
      <c r="D29" s="33" t="s">
        <v>3</v>
      </c>
      <c r="E29" s="20" t="s">
        <v>36</v>
      </c>
      <c r="F29" s="57">
        <v>2.8587962962962963E-3</v>
      </c>
    </row>
    <row r="30" spans="1:6" ht="22" customHeight="1" x14ac:dyDescent="0.2">
      <c r="A30" s="35">
        <v>28</v>
      </c>
      <c r="B30" s="20" t="s">
        <v>80</v>
      </c>
      <c r="C30" s="34"/>
      <c r="D30" s="33" t="s">
        <v>3</v>
      </c>
      <c r="E30" s="20" t="s">
        <v>39</v>
      </c>
      <c r="F30" s="57">
        <f>VLOOKUP(B30,'Song Tracker'!$A$3:$F$48,6,FALSE)</f>
        <v>2.6041666666666665E-3</v>
      </c>
    </row>
    <row r="31" spans="1:6" ht="22" customHeight="1" x14ac:dyDescent="0.2">
      <c r="A31" s="35">
        <v>29</v>
      </c>
      <c r="B31" s="20" t="s">
        <v>103</v>
      </c>
      <c r="C31" s="33" t="s">
        <v>2</v>
      </c>
      <c r="D31" s="33" t="s">
        <v>3</v>
      </c>
      <c r="E31" s="20" t="s">
        <v>31</v>
      </c>
      <c r="F31" s="57">
        <v>5.9606481481481481E-3</v>
      </c>
    </row>
    <row r="32" spans="1:6" ht="22" customHeight="1" x14ac:dyDescent="0.2">
      <c r="A32" s="35">
        <v>30</v>
      </c>
      <c r="B32" s="20" t="s">
        <v>70</v>
      </c>
      <c r="C32" s="33" t="s">
        <v>2</v>
      </c>
      <c r="D32" s="33" t="s">
        <v>3</v>
      </c>
      <c r="E32" s="20" t="s">
        <v>31</v>
      </c>
      <c r="F32" s="57">
        <v>2.4305555555555556E-3</v>
      </c>
    </row>
    <row r="33" spans="1:6" ht="22" customHeight="1" x14ac:dyDescent="0.2">
      <c r="A33" s="35">
        <v>31</v>
      </c>
      <c r="B33" s="20" t="s">
        <v>118</v>
      </c>
      <c r="C33" s="33" t="s">
        <v>2</v>
      </c>
      <c r="D33" s="33" t="s">
        <v>3</v>
      </c>
      <c r="E33" s="20" t="s">
        <v>36</v>
      </c>
      <c r="F33" s="57">
        <f>VLOOKUP(B33,'Song Tracker'!$A$3:$F$48,6,FALSE)</f>
        <v>3.472222222222222E-3</v>
      </c>
    </row>
    <row r="34" spans="1:6" ht="22" customHeight="1" x14ac:dyDescent="0.2">
      <c r="A34" s="24"/>
      <c r="B34" s="19"/>
      <c r="C34" s="26"/>
      <c r="D34" s="26"/>
      <c r="E34" s="19"/>
      <c r="F34" s="58"/>
    </row>
    <row r="35" spans="1:6" ht="22" customHeight="1" thickBot="1" x14ac:dyDescent="0.25">
      <c r="A35" s="29"/>
      <c r="B35" s="30" t="s">
        <v>244</v>
      </c>
      <c r="C35" s="31"/>
      <c r="D35" s="31"/>
      <c r="E35" s="30"/>
      <c r="F35" s="32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252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90</v>
      </c>
      <c r="C3" s="33" t="s">
        <v>2</v>
      </c>
      <c r="D3" s="33" t="s">
        <v>3</v>
      </c>
      <c r="E3" s="20" t="s">
        <v>36</v>
      </c>
      <c r="F3" s="57">
        <v>2.8587962962962963E-3</v>
      </c>
    </row>
    <row r="4" spans="1:6" ht="22" customHeight="1" x14ac:dyDescent="0.2">
      <c r="A4" s="35">
        <v>2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 x14ac:dyDescent="0.2">
      <c r="A5" s="35">
        <v>3</v>
      </c>
      <c r="B5" s="20" t="s">
        <v>41</v>
      </c>
      <c r="C5" s="33" t="s">
        <v>2</v>
      </c>
      <c r="D5" s="33" t="s">
        <v>3</v>
      </c>
      <c r="E5" s="20" t="s">
        <v>39</v>
      </c>
      <c r="F5" s="57">
        <v>2.7199074074074074E-3</v>
      </c>
    </row>
    <row r="6" spans="1:6" ht="22" customHeight="1" x14ac:dyDescent="0.2">
      <c r="A6" s="35">
        <v>4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 x14ac:dyDescent="0.2">
      <c r="A7" s="35">
        <v>5</v>
      </c>
      <c r="B7" s="20" t="s">
        <v>113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2.0023148148148148E-3</v>
      </c>
    </row>
    <row r="8" spans="1:6" ht="22" customHeight="1" x14ac:dyDescent="0.2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 x14ac:dyDescent="0.2">
      <c r="A9" s="35">
        <v>7</v>
      </c>
      <c r="B9" s="20" t="s">
        <v>116</v>
      </c>
      <c r="C9" s="33" t="s">
        <v>2</v>
      </c>
      <c r="D9" s="33" t="s">
        <v>3</v>
      </c>
      <c r="E9" s="20" t="s">
        <v>36</v>
      </c>
      <c r="F9" s="57">
        <v>2.2569444444444442E-3</v>
      </c>
    </row>
    <row r="10" spans="1:6" ht="22" customHeight="1" x14ac:dyDescent="0.2">
      <c r="A10" s="35">
        <v>8</v>
      </c>
      <c r="B10" s="20" t="s">
        <v>70</v>
      </c>
      <c r="C10" s="33" t="s">
        <v>2</v>
      </c>
      <c r="D10" s="33" t="s">
        <v>3</v>
      </c>
      <c r="E10" s="20" t="s">
        <v>31</v>
      </c>
      <c r="F10" s="57">
        <v>2.4305555555555556E-3</v>
      </c>
    </row>
    <row r="11" spans="1:6" ht="22" customHeight="1" x14ac:dyDescent="0.2">
      <c r="A11" s="35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 x14ac:dyDescent="0.2">
      <c r="A12" s="35">
        <v>10</v>
      </c>
      <c r="B12" s="20" t="s">
        <v>120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2.0833333333333333E-3</v>
      </c>
    </row>
    <row r="13" spans="1:6" ht="22" customHeight="1" x14ac:dyDescent="0.2">
      <c r="A13" s="35">
        <v>11</v>
      </c>
      <c r="B13" s="20" t="s">
        <v>54</v>
      </c>
      <c r="C13" s="33" t="s">
        <v>2</v>
      </c>
      <c r="D13" s="33" t="s">
        <v>3</v>
      </c>
      <c r="E13" s="20" t="s">
        <v>39</v>
      </c>
      <c r="F13" s="57">
        <v>2.7430555555555554E-3</v>
      </c>
    </row>
    <row r="14" spans="1:6" ht="22" customHeight="1" x14ac:dyDescent="0.2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x14ac:dyDescent="0.2">
      <c r="A16" s="24"/>
      <c r="B16" s="19"/>
      <c r="C16" s="26"/>
      <c r="D16" s="26"/>
      <c r="E16" s="19"/>
      <c r="F16" s="58"/>
    </row>
    <row r="17" spans="1:6" ht="22" customHeight="1" thickBot="1" x14ac:dyDescent="0.25">
      <c r="A17" s="29"/>
      <c r="B17" s="30" t="s">
        <v>244</v>
      </c>
      <c r="C17" s="31"/>
      <c r="D17" s="31"/>
      <c r="E17" s="30"/>
      <c r="F17" s="32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253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5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 x14ac:dyDescent="0.2">
      <c r="A7" s="35">
        <v>6</v>
      </c>
      <c r="B7" s="20" t="s">
        <v>28</v>
      </c>
      <c r="C7" s="34"/>
      <c r="D7" s="34"/>
      <c r="E7" s="20" t="s">
        <v>31</v>
      </c>
      <c r="F7" s="57">
        <f>VLOOKUP(B7,'Song Tracker'!$A$3:$F$48,6,FALSE)</f>
        <v>2.7662037037037039E-3</v>
      </c>
    </row>
    <row r="8" spans="1:6" ht="22" customHeight="1" x14ac:dyDescent="0.2">
      <c r="A8" s="35">
        <v>7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 x14ac:dyDescent="0.2">
      <c r="A9" s="35">
        <v>8</v>
      </c>
      <c r="B9" s="20" t="s">
        <v>127</v>
      </c>
      <c r="C9" s="33" t="s">
        <v>2</v>
      </c>
      <c r="D9" s="33" t="s">
        <v>3</v>
      </c>
      <c r="E9" s="20" t="s">
        <v>31</v>
      </c>
      <c r="F9" s="57">
        <v>2.0949074074074073E-3</v>
      </c>
    </row>
    <row r="10" spans="1:6" ht="22" customHeight="1" x14ac:dyDescent="0.2">
      <c r="A10" s="35">
        <v>9</v>
      </c>
      <c r="B10" s="20" t="s">
        <v>63</v>
      </c>
      <c r="C10" s="33" t="s">
        <v>2</v>
      </c>
      <c r="D10" s="33" t="s">
        <v>3</v>
      </c>
      <c r="E10" s="20" t="s">
        <v>31</v>
      </c>
      <c r="F10" s="57">
        <v>2.7893518518518519E-3</v>
      </c>
    </row>
    <row r="11" spans="1:6" ht="22" customHeight="1" x14ac:dyDescent="0.2">
      <c r="A11" s="35">
        <v>10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 x14ac:dyDescent="0.2">
      <c r="A12" s="35">
        <v>11</v>
      </c>
      <c r="B12" s="20" t="s">
        <v>80</v>
      </c>
      <c r="C12" s="34"/>
      <c r="D12" s="33" t="s">
        <v>3</v>
      </c>
      <c r="E12" s="20" t="s">
        <v>39</v>
      </c>
      <c r="F12" s="57">
        <f>VLOOKUP(B12,'Song Tracker'!$A$3:$F$48,6,FALSE)</f>
        <v>2.6041666666666665E-3</v>
      </c>
    </row>
    <row r="13" spans="1:6" ht="22" customHeight="1" x14ac:dyDescent="0.2">
      <c r="A13" s="35">
        <v>12</v>
      </c>
      <c r="B13" s="20" t="s">
        <v>101</v>
      </c>
      <c r="C13" s="33" t="s">
        <v>2</v>
      </c>
      <c r="D13" s="33" t="s">
        <v>3</v>
      </c>
      <c r="E13" s="20" t="s">
        <v>31</v>
      </c>
      <c r="F13" s="57">
        <v>4.1319444444444442E-3</v>
      </c>
    </row>
    <row r="14" spans="1:6" ht="22" customHeight="1" x14ac:dyDescent="0.2">
      <c r="A14" s="35">
        <v>13</v>
      </c>
      <c r="B14" s="20" t="s">
        <v>120</v>
      </c>
      <c r="C14" s="33" t="s">
        <v>2</v>
      </c>
      <c r="D14" s="33" t="s">
        <v>3</v>
      </c>
      <c r="E14" s="20" t="s">
        <v>31</v>
      </c>
      <c r="F14" s="57">
        <f>VLOOKUP(B14,'Song Tracker'!$A$3:$F$48,6,FALSE)</f>
        <v>2.0833333333333333E-3</v>
      </c>
    </row>
    <row r="15" spans="1:6" ht="22" customHeight="1" x14ac:dyDescent="0.2">
      <c r="A15" s="35">
        <v>14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>
        <v>15</v>
      </c>
      <c r="B16" s="20" t="s">
        <v>124</v>
      </c>
      <c r="C16" s="34"/>
      <c r="D16" s="34"/>
      <c r="E16" s="20" t="s">
        <v>126</v>
      </c>
      <c r="F16" s="57"/>
    </row>
    <row r="17" spans="1:6" x14ac:dyDescent="0.2">
      <c r="A17" s="24"/>
      <c r="B17" s="19"/>
      <c r="C17" s="26"/>
      <c r="D17" s="26"/>
      <c r="E17" s="19"/>
      <c r="F17" s="58"/>
    </row>
    <row r="18" spans="1:6" ht="22" customHeight="1" thickBot="1" x14ac:dyDescent="0.25">
      <c r="A18" s="29"/>
      <c r="B18" s="30" t="s">
        <v>244</v>
      </c>
      <c r="C18" s="31"/>
      <c r="D18" s="31"/>
      <c r="E18" s="30"/>
      <c r="F18" s="32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254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 x14ac:dyDescent="0.2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 x14ac:dyDescent="0.2">
      <c r="A9" s="35">
        <v>7</v>
      </c>
      <c r="B9" s="20" t="s">
        <v>97</v>
      </c>
      <c r="C9" s="33" t="s">
        <v>2</v>
      </c>
      <c r="D9" s="33" t="s">
        <v>3</v>
      </c>
      <c r="E9" s="20" t="s">
        <v>31</v>
      </c>
      <c r="F9" s="57">
        <v>3.2291666666666666E-3</v>
      </c>
    </row>
    <row r="10" spans="1:6" ht="22" customHeight="1" x14ac:dyDescent="0.2">
      <c r="A10" s="35">
        <v>8</v>
      </c>
      <c r="B10" s="20" t="s">
        <v>28</v>
      </c>
      <c r="C10" s="34"/>
      <c r="D10" s="34"/>
      <c r="E10" s="20" t="s">
        <v>31</v>
      </c>
      <c r="F10" s="57">
        <f>VLOOKUP(B10,'Song Tracker'!$A$3:$F$48,6,FALSE)</f>
        <v>2.7662037037037039E-3</v>
      </c>
    </row>
    <row r="11" spans="1:6" ht="22" customHeight="1" x14ac:dyDescent="0.2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 x14ac:dyDescent="0.2">
      <c r="A12" s="35">
        <v>10</v>
      </c>
      <c r="B12" s="20" t="s">
        <v>57</v>
      </c>
      <c r="C12" s="33" t="s">
        <v>2</v>
      </c>
      <c r="D12" s="33" t="s">
        <v>3</v>
      </c>
      <c r="E12" s="20" t="s">
        <v>39</v>
      </c>
      <c r="F12" s="57">
        <f>VLOOKUP(B12,'Song Tracker'!$A$3:$F$48,6,FALSE)</f>
        <v>2.3032407407407407E-3</v>
      </c>
    </row>
    <row r="13" spans="1:6" ht="22" customHeight="1" x14ac:dyDescent="0.2">
      <c r="A13" s="35">
        <v>11</v>
      </c>
      <c r="B13" s="20" t="s">
        <v>127</v>
      </c>
      <c r="C13" s="33" t="s">
        <v>2</v>
      </c>
      <c r="D13" s="33" t="s">
        <v>3</v>
      </c>
      <c r="E13" s="20" t="s">
        <v>31</v>
      </c>
      <c r="F13" s="57">
        <v>2.0949074074074073E-3</v>
      </c>
    </row>
    <row r="14" spans="1:6" ht="22" customHeight="1" x14ac:dyDescent="0.2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 x14ac:dyDescent="0.2">
      <c r="A15" s="35">
        <v>13</v>
      </c>
      <c r="B15" s="20" t="s">
        <v>116</v>
      </c>
      <c r="C15" s="33" t="s">
        <v>2</v>
      </c>
      <c r="D15" s="33" t="s">
        <v>3</v>
      </c>
      <c r="E15" s="20" t="s">
        <v>36</v>
      </c>
      <c r="F15" s="57">
        <v>2.2569444444444442E-3</v>
      </c>
    </row>
    <row r="16" spans="1:6" ht="22" customHeight="1" x14ac:dyDescent="0.2">
      <c r="A16" s="35">
        <v>14</v>
      </c>
      <c r="B16" s="20" t="s">
        <v>63</v>
      </c>
      <c r="C16" s="33" t="s">
        <v>2</v>
      </c>
      <c r="D16" s="33" t="s">
        <v>3</v>
      </c>
      <c r="E16" s="20" t="s">
        <v>31</v>
      </c>
      <c r="F16" s="57">
        <v>2.7893518518518519E-3</v>
      </c>
    </row>
    <row r="17" spans="1:6" ht="22" customHeight="1" x14ac:dyDescent="0.2">
      <c r="A17" s="35">
        <v>15</v>
      </c>
      <c r="B17" s="20" t="s">
        <v>94</v>
      </c>
      <c r="C17" s="33" t="s">
        <v>2</v>
      </c>
      <c r="D17" s="33" t="s">
        <v>3</v>
      </c>
      <c r="E17" s="20" t="s">
        <v>39</v>
      </c>
      <c r="F17" s="57">
        <v>3.5995370370370369E-3</v>
      </c>
    </row>
    <row r="18" spans="1:6" ht="22" customHeight="1" x14ac:dyDescent="0.2">
      <c r="A18" s="35">
        <v>16</v>
      </c>
      <c r="B18" s="20" t="s">
        <v>65</v>
      </c>
      <c r="C18" s="33" t="s">
        <v>2</v>
      </c>
      <c r="D18" s="33" t="s">
        <v>3</v>
      </c>
      <c r="E18" s="20" t="s">
        <v>36</v>
      </c>
      <c r="F18" s="57">
        <v>2.488425925925926E-3</v>
      </c>
    </row>
    <row r="19" spans="1:6" ht="22" customHeight="1" x14ac:dyDescent="0.2">
      <c r="A19" s="35">
        <v>17</v>
      </c>
      <c r="B19" s="20" t="s">
        <v>80</v>
      </c>
      <c r="C19" s="34"/>
      <c r="D19" s="33" t="s">
        <v>3</v>
      </c>
      <c r="E19" s="20" t="s">
        <v>39</v>
      </c>
      <c r="F19" s="57">
        <f>VLOOKUP(B19,'Song Tracker'!$A$3:$F$48,6,FALSE)</f>
        <v>2.6041666666666665E-3</v>
      </c>
    </row>
    <row r="20" spans="1:6" ht="22" customHeight="1" x14ac:dyDescent="0.2">
      <c r="A20" s="35">
        <v>18</v>
      </c>
      <c r="B20" s="20" t="s">
        <v>85</v>
      </c>
      <c r="C20" s="33" t="s">
        <v>2</v>
      </c>
      <c r="D20" s="33" t="s">
        <v>3</v>
      </c>
      <c r="E20" s="20" t="s">
        <v>48</v>
      </c>
      <c r="F20" s="57">
        <v>1.9791666666666668E-3</v>
      </c>
    </row>
    <row r="21" spans="1:6" ht="22" customHeight="1" x14ac:dyDescent="0.2">
      <c r="A21" s="35">
        <v>19</v>
      </c>
      <c r="B21" s="20" t="s">
        <v>46</v>
      </c>
      <c r="C21" s="33" t="s">
        <v>2</v>
      </c>
      <c r="D21" s="33" t="s">
        <v>3</v>
      </c>
      <c r="E21" s="20" t="s">
        <v>48</v>
      </c>
      <c r="F21" s="57">
        <v>1.7476851851851852E-3</v>
      </c>
    </row>
    <row r="22" spans="1:6" ht="22" customHeight="1" x14ac:dyDescent="0.2">
      <c r="A22" s="35">
        <v>20</v>
      </c>
      <c r="B22" s="20" t="s">
        <v>246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 x14ac:dyDescent="0.2">
      <c r="A23" s="35">
        <v>21</v>
      </c>
      <c r="B23" s="20" t="s">
        <v>101</v>
      </c>
      <c r="C23" s="33" t="s">
        <v>2</v>
      </c>
      <c r="D23" s="33" t="s">
        <v>3</v>
      </c>
      <c r="E23" s="20" t="s">
        <v>31</v>
      </c>
      <c r="F23" s="57">
        <v>4.1319444444444442E-3</v>
      </c>
    </row>
    <row r="24" spans="1:6" ht="22" customHeight="1" x14ac:dyDescent="0.2">
      <c r="A24" s="35">
        <v>22</v>
      </c>
      <c r="B24" s="20" t="s">
        <v>82</v>
      </c>
      <c r="C24" s="33" t="s">
        <v>2</v>
      </c>
      <c r="D24" s="34"/>
      <c r="E24" s="20" t="s">
        <v>36</v>
      </c>
      <c r="F24" s="57">
        <v>3.8541666666666663E-3</v>
      </c>
    </row>
    <row r="25" spans="1:6" ht="22" customHeight="1" x14ac:dyDescent="0.2">
      <c r="A25" s="35">
        <v>23</v>
      </c>
      <c r="B25" s="20" t="s">
        <v>34</v>
      </c>
      <c r="C25" s="33" t="s">
        <v>2</v>
      </c>
      <c r="D25" s="33" t="s">
        <v>3</v>
      </c>
      <c r="E25" s="20" t="s">
        <v>36</v>
      </c>
      <c r="F25" s="57">
        <f>VLOOKUP(B25,'Song Tracker'!$A$3:$F$48,6,FALSE)</f>
        <v>3.9583333333333337E-3</v>
      </c>
    </row>
    <row r="26" spans="1:6" ht="22" customHeight="1" x14ac:dyDescent="0.2">
      <c r="A26" s="35">
        <v>24</v>
      </c>
      <c r="B26" s="20" t="s">
        <v>41</v>
      </c>
      <c r="C26" s="33" t="s">
        <v>2</v>
      </c>
      <c r="D26" s="33" t="s">
        <v>3</v>
      </c>
      <c r="E26" s="20" t="s">
        <v>39</v>
      </c>
      <c r="F26" s="57">
        <v>2.7199074074074074E-3</v>
      </c>
    </row>
    <row r="27" spans="1:6" ht="22" customHeight="1" x14ac:dyDescent="0.2">
      <c r="A27" s="35">
        <v>25</v>
      </c>
      <c r="B27" s="20" t="s">
        <v>120</v>
      </c>
      <c r="C27" s="33" t="s">
        <v>2</v>
      </c>
      <c r="D27" s="33" t="s">
        <v>3</v>
      </c>
      <c r="E27" s="20" t="s">
        <v>31</v>
      </c>
      <c r="F27" s="57">
        <f>VLOOKUP(B27,'Song Tracker'!$A$3:$F$48,6,FALSE)</f>
        <v>2.0833333333333333E-3</v>
      </c>
    </row>
    <row r="28" spans="1:6" ht="22" customHeight="1" x14ac:dyDescent="0.2">
      <c r="A28" s="35">
        <v>26</v>
      </c>
      <c r="B28" s="20" t="s">
        <v>74</v>
      </c>
      <c r="C28" s="33" t="s">
        <v>2</v>
      </c>
      <c r="D28" s="33" t="s">
        <v>3</v>
      </c>
      <c r="E28" s="20" t="s">
        <v>39</v>
      </c>
      <c r="F28" s="57">
        <v>4.6874999999999998E-3</v>
      </c>
    </row>
    <row r="29" spans="1:6" ht="22" customHeight="1" x14ac:dyDescent="0.2">
      <c r="A29" s="35">
        <v>27</v>
      </c>
      <c r="B29" s="20" t="s">
        <v>123</v>
      </c>
      <c r="C29" s="33" t="s">
        <v>2</v>
      </c>
      <c r="D29" s="33" t="s">
        <v>3</v>
      </c>
      <c r="E29" s="20" t="s">
        <v>36</v>
      </c>
      <c r="F29" s="57">
        <v>3.3217592592592595E-3</v>
      </c>
    </row>
    <row r="30" spans="1:6" ht="22" customHeight="1" x14ac:dyDescent="0.2">
      <c r="A30" s="35">
        <v>28</v>
      </c>
      <c r="B30" s="20" t="s">
        <v>103</v>
      </c>
      <c r="C30" s="33" t="s">
        <v>2</v>
      </c>
      <c r="D30" s="33" t="s">
        <v>3</v>
      </c>
      <c r="E30" s="20" t="s">
        <v>31</v>
      </c>
      <c r="F30" s="57">
        <v>5.9606481481481481E-3</v>
      </c>
    </row>
    <row r="31" spans="1:6" x14ac:dyDescent="0.2">
      <c r="A31" s="24"/>
      <c r="B31" s="19"/>
      <c r="C31" s="26"/>
      <c r="D31" s="26"/>
      <c r="E31" s="19"/>
      <c r="F31" s="58"/>
    </row>
    <row r="32" spans="1:6" ht="22" customHeight="1" thickBot="1" x14ac:dyDescent="0.25">
      <c r="A32" s="29"/>
      <c r="B32" s="30" t="s">
        <v>244</v>
      </c>
      <c r="C32" s="31"/>
      <c r="D32" s="31"/>
      <c r="E32" s="30"/>
      <c r="F32" s="32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255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 x14ac:dyDescent="0.2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 x14ac:dyDescent="0.2">
      <c r="A9" s="35">
        <v>7</v>
      </c>
      <c r="B9" s="20" t="s">
        <v>57</v>
      </c>
      <c r="C9" s="33" t="s">
        <v>2</v>
      </c>
      <c r="D9" s="33" t="s">
        <v>3</v>
      </c>
      <c r="E9" s="20" t="s">
        <v>39</v>
      </c>
      <c r="F9" s="57">
        <f>VLOOKUP(B9,'Song Tracker'!$A$3:$F$48,6,FALSE)</f>
        <v>2.3032407407407407E-3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 x14ac:dyDescent="0.2">
      <c r="A12" s="35">
        <v>10</v>
      </c>
      <c r="B12" s="20" t="s">
        <v>116</v>
      </c>
      <c r="C12" s="33" t="s">
        <v>2</v>
      </c>
      <c r="D12" s="33" t="s">
        <v>3</v>
      </c>
      <c r="E12" s="20" t="s">
        <v>36</v>
      </c>
      <c r="F12" s="57">
        <v>2.2569444444444442E-3</v>
      </c>
    </row>
    <row r="13" spans="1:6" ht="22" customHeight="1" x14ac:dyDescent="0.2">
      <c r="A13" s="35">
        <v>11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 x14ac:dyDescent="0.2">
      <c r="A14" s="35">
        <v>12</v>
      </c>
      <c r="B14" s="20" t="s">
        <v>94</v>
      </c>
      <c r="C14" s="33" t="s">
        <v>2</v>
      </c>
      <c r="D14" s="33" t="s">
        <v>3</v>
      </c>
      <c r="E14" s="20" t="s">
        <v>39</v>
      </c>
      <c r="F14" s="57">
        <v>3.5995370370370369E-3</v>
      </c>
    </row>
    <row r="15" spans="1:6" ht="22" customHeight="1" x14ac:dyDescent="0.2">
      <c r="A15" s="35">
        <v>13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 x14ac:dyDescent="0.2">
      <c r="A16" s="35">
        <v>14</v>
      </c>
      <c r="B16" s="20" t="s">
        <v>85</v>
      </c>
      <c r="C16" s="33" t="s">
        <v>2</v>
      </c>
      <c r="D16" s="33" t="s">
        <v>3</v>
      </c>
      <c r="E16" s="20" t="s">
        <v>48</v>
      </c>
      <c r="F16" s="57">
        <v>1.9791666666666668E-3</v>
      </c>
    </row>
    <row r="17" spans="1:6" ht="22" customHeight="1" x14ac:dyDescent="0.2">
      <c r="A17" s="35">
        <v>15</v>
      </c>
      <c r="B17" s="20" t="s">
        <v>46</v>
      </c>
      <c r="C17" s="33" t="s">
        <v>2</v>
      </c>
      <c r="D17" s="33" t="s">
        <v>3</v>
      </c>
      <c r="E17" s="20" t="s">
        <v>48</v>
      </c>
      <c r="F17" s="57">
        <v>1.7476851851851852E-3</v>
      </c>
    </row>
    <row r="18" spans="1:6" ht="22" customHeight="1" x14ac:dyDescent="0.2">
      <c r="A18" s="35">
        <v>16</v>
      </c>
      <c r="B18" s="20" t="s">
        <v>101</v>
      </c>
      <c r="C18" s="33" t="s">
        <v>2</v>
      </c>
      <c r="D18" s="33" t="s">
        <v>3</v>
      </c>
      <c r="E18" s="20" t="s">
        <v>31</v>
      </c>
      <c r="F18" s="57">
        <v>4.1319444444444442E-3</v>
      </c>
    </row>
    <row r="19" spans="1:6" ht="22" customHeight="1" x14ac:dyDescent="0.2">
      <c r="A19" s="35">
        <v>17</v>
      </c>
      <c r="B19" s="20" t="s">
        <v>82</v>
      </c>
      <c r="C19" s="33" t="s">
        <v>2</v>
      </c>
      <c r="D19" s="34"/>
      <c r="E19" s="20" t="s">
        <v>36</v>
      </c>
      <c r="F19" s="57">
        <v>3.8541666666666663E-3</v>
      </c>
    </row>
    <row r="20" spans="1:6" ht="22" customHeight="1" x14ac:dyDescent="0.2">
      <c r="A20" s="35">
        <v>18</v>
      </c>
      <c r="B20" s="20" t="s">
        <v>74</v>
      </c>
      <c r="C20" s="33" t="s">
        <v>2</v>
      </c>
      <c r="D20" s="33" t="s">
        <v>3</v>
      </c>
      <c r="E20" s="20" t="s">
        <v>39</v>
      </c>
      <c r="F20" s="57">
        <v>4.6874999999999998E-3</v>
      </c>
    </row>
    <row r="21" spans="1:6" ht="22" customHeight="1" x14ac:dyDescent="0.2">
      <c r="A21" s="35">
        <v>19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 x14ac:dyDescent="0.2">
      <c r="A22" s="35" t="s">
        <v>256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 x14ac:dyDescent="0.2">
      <c r="A23" s="24"/>
      <c r="B23" s="19"/>
      <c r="C23" s="26"/>
      <c r="D23" s="26"/>
      <c r="E23" s="19"/>
      <c r="F23" s="58"/>
    </row>
    <row r="24" spans="1:6" ht="22" customHeight="1" thickBot="1" x14ac:dyDescent="0.25">
      <c r="A24" s="29"/>
      <c r="B24" s="30" t="s">
        <v>244</v>
      </c>
      <c r="C24" s="31"/>
      <c r="D24" s="31"/>
      <c r="E24" s="30"/>
      <c r="F24" s="32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257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120</v>
      </c>
      <c r="C3" s="33" t="s">
        <v>2</v>
      </c>
      <c r="D3" s="33" t="s">
        <v>3</v>
      </c>
      <c r="E3" s="20" t="s">
        <v>31</v>
      </c>
      <c r="F3" s="57">
        <f>VLOOKUP(B3,'Song Tracker'!$A$3:$F$48,6,FALSE)</f>
        <v>2.0833333333333333E-3</v>
      </c>
    </row>
    <row r="4" spans="1:6" ht="22" customHeight="1" x14ac:dyDescent="0.2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 x14ac:dyDescent="0.2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 x14ac:dyDescent="0.2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 x14ac:dyDescent="0.2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 x14ac:dyDescent="0.2">
      <c r="A8" s="35">
        <v>6</v>
      </c>
      <c r="B8" s="20" t="s">
        <v>106</v>
      </c>
      <c r="C8" s="33" t="s">
        <v>2</v>
      </c>
      <c r="D8" s="33" t="s">
        <v>3</v>
      </c>
      <c r="E8" s="20" t="s">
        <v>36</v>
      </c>
      <c r="F8" s="57">
        <v>3.3680555555555556E-3</v>
      </c>
    </row>
    <row r="9" spans="1:6" ht="22" customHeight="1" x14ac:dyDescent="0.2">
      <c r="A9" s="35">
        <v>7</v>
      </c>
      <c r="B9" s="20" t="s">
        <v>63</v>
      </c>
      <c r="C9" s="33" t="s">
        <v>2</v>
      </c>
      <c r="D9" s="33" t="s">
        <v>3</v>
      </c>
      <c r="E9" s="20" t="s">
        <v>31</v>
      </c>
      <c r="F9" s="57">
        <v>2.7893518518518519E-3</v>
      </c>
    </row>
    <row r="10" spans="1:6" ht="22" customHeight="1" x14ac:dyDescent="0.2">
      <c r="A10" s="35">
        <v>8</v>
      </c>
      <c r="B10" s="20" t="s">
        <v>80</v>
      </c>
      <c r="C10" s="34"/>
      <c r="D10" s="33" t="s">
        <v>3</v>
      </c>
      <c r="E10" s="20" t="s">
        <v>39</v>
      </c>
      <c r="F10" s="57">
        <f>VLOOKUP(B10,'Song Tracker'!$A$3:$F$48,6,FALSE)</f>
        <v>2.6041666666666665E-3</v>
      </c>
    </row>
    <row r="11" spans="1:6" ht="22" customHeight="1" x14ac:dyDescent="0.2">
      <c r="A11" s="35">
        <v>9</v>
      </c>
      <c r="B11" s="20" t="s">
        <v>49</v>
      </c>
      <c r="C11" s="33" t="s">
        <v>2</v>
      </c>
      <c r="D11" s="33" t="s">
        <v>3</v>
      </c>
      <c r="E11" s="20" t="s">
        <v>31</v>
      </c>
      <c r="F11" s="57">
        <v>2.1874999999999998E-3</v>
      </c>
    </row>
    <row r="12" spans="1:6" ht="22" customHeight="1" x14ac:dyDescent="0.2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 x14ac:dyDescent="0.2">
      <c r="A13" s="35">
        <v>11</v>
      </c>
      <c r="B13" s="20" t="s">
        <v>116</v>
      </c>
      <c r="C13" s="33" t="s">
        <v>2</v>
      </c>
      <c r="D13" s="33" t="s">
        <v>3</v>
      </c>
      <c r="E13" s="20" t="s">
        <v>36</v>
      </c>
      <c r="F13" s="57">
        <v>2.2569444444444442E-3</v>
      </c>
    </row>
    <row r="14" spans="1:6" ht="22" customHeight="1" x14ac:dyDescent="0.2">
      <c r="A14" s="35">
        <v>12</v>
      </c>
      <c r="B14" s="20" t="s">
        <v>246</v>
      </c>
      <c r="C14" s="33" t="s">
        <v>2</v>
      </c>
      <c r="D14" s="33" t="s">
        <v>3</v>
      </c>
      <c r="E14" s="20" t="s">
        <v>39</v>
      </c>
      <c r="F14" s="57">
        <v>2.5810185185185185E-3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 t="s">
        <v>258</v>
      </c>
      <c r="B16" s="20" t="s">
        <v>103</v>
      </c>
      <c r="C16" s="33" t="s">
        <v>2</v>
      </c>
      <c r="D16" s="33" t="s">
        <v>3</v>
      </c>
      <c r="E16" s="20" t="s">
        <v>31</v>
      </c>
      <c r="F16" s="57">
        <v>5.9606481481481481E-3</v>
      </c>
    </row>
    <row r="17" spans="1:6" x14ac:dyDescent="0.2">
      <c r="A17" s="24"/>
      <c r="B17" s="19"/>
      <c r="C17" s="26"/>
      <c r="D17" s="26"/>
      <c r="E17" s="19"/>
      <c r="F17" s="58"/>
    </row>
    <row r="18" spans="1:6" ht="22" customHeight="1" thickBot="1" x14ac:dyDescent="0.25">
      <c r="A18" s="29"/>
      <c r="B18" s="30" t="s">
        <v>244</v>
      </c>
      <c r="C18" s="31"/>
      <c r="D18" s="31"/>
      <c r="E18" s="30"/>
      <c r="F18" s="32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259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 x14ac:dyDescent="0.2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 x14ac:dyDescent="0.2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 x14ac:dyDescent="0.2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 x14ac:dyDescent="0.2">
      <c r="A9" s="35">
        <v>7</v>
      </c>
      <c r="B9" s="20" t="s">
        <v>82</v>
      </c>
      <c r="C9" s="33" t="s">
        <v>2</v>
      </c>
      <c r="D9" s="34"/>
      <c r="E9" s="20" t="s">
        <v>36</v>
      </c>
      <c r="F9" s="57">
        <v>3.8541666666666663E-3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80</v>
      </c>
      <c r="C11" s="34"/>
      <c r="D11" s="33" t="s">
        <v>3</v>
      </c>
      <c r="E11" s="20" t="s">
        <v>39</v>
      </c>
      <c r="F11" s="57">
        <f>VLOOKUP(B11,'Song Tracker'!$A$3:$F$48,6,FALSE)</f>
        <v>2.6041666666666665E-3</v>
      </c>
    </row>
    <row r="12" spans="1:6" ht="22" customHeight="1" x14ac:dyDescent="0.2">
      <c r="A12" s="35">
        <v>10</v>
      </c>
      <c r="B12" s="20" t="s">
        <v>46</v>
      </c>
      <c r="C12" s="33" t="s">
        <v>2</v>
      </c>
      <c r="D12" s="33" t="s">
        <v>3</v>
      </c>
      <c r="E12" s="20" t="s">
        <v>48</v>
      </c>
      <c r="F12" s="57">
        <v>1.7476851851851852E-3</v>
      </c>
    </row>
    <row r="13" spans="1:6" ht="22" customHeight="1" x14ac:dyDescent="0.2">
      <c r="A13" s="35">
        <v>11</v>
      </c>
      <c r="B13" s="20" t="s">
        <v>123</v>
      </c>
      <c r="C13" s="33" t="s">
        <v>2</v>
      </c>
      <c r="D13" s="33" t="s">
        <v>3</v>
      </c>
      <c r="E13" s="20" t="s">
        <v>36</v>
      </c>
      <c r="F13" s="57">
        <v>3.3217592592592595E-3</v>
      </c>
    </row>
    <row r="14" spans="1:6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260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 x14ac:dyDescent="0.2">
      <c r="A11" s="35">
        <v>9</v>
      </c>
      <c r="B11" s="20" t="s">
        <v>96</v>
      </c>
      <c r="C11" s="33" t="s">
        <v>2</v>
      </c>
      <c r="D11" s="33" t="s">
        <v>3</v>
      </c>
      <c r="E11" s="20" t="s">
        <v>48</v>
      </c>
      <c r="F11" s="57">
        <f>VLOOKUP(B11,'Song Tracker'!$A$3:$F$48,6,FALSE)</f>
        <v>1.9675925925925924E-3</v>
      </c>
    </row>
    <row r="12" spans="1:6" ht="22" customHeight="1" x14ac:dyDescent="0.2">
      <c r="A12" s="35">
        <v>10</v>
      </c>
      <c r="B12" s="20" t="s">
        <v>52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5.5555555555555558E-3</v>
      </c>
    </row>
    <row r="13" spans="1:6" ht="22" customHeight="1" x14ac:dyDescent="0.2">
      <c r="A13" s="35">
        <v>11</v>
      </c>
      <c r="B13" s="20" t="s">
        <v>82</v>
      </c>
      <c r="C13" s="33" t="s">
        <v>2</v>
      </c>
      <c r="D13" s="34"/>
      <c r="E13" s="20" t="s">
        <v>36</v>
      </c>
      <c r="F13" s="57">
        <v>3.8541666666666663E-3</v>
      </c>
    </row>
    <row r="14" spans="1:6" ht="22" customHeight="1" x14ac:dyDescent="0.2">
      <c r="A14" s="35">
        <v>12</v>
      </c>
      <c r="B14" s="20" t="s">
        <v>97</v>
      </c>
      <c r="C14" s="33" t="s">
        <v>2</v>
      </c>
      <c r="D14" s="33" t="s">
        <v>3</v>
      </c>
      <c r="E14" s="20" t="s">
        <v>31</v>
      </c>
      <c r="F14" s="57">
        <v>3.2291666666666666E-3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>
        <v>14</v>
      </c>
      <c r="B16" s="20" t="s">
        <v>110</v>
      </c>
      <c r="C16" s="33" t="s">
        <v>2</v>
      </c>
      <c r="D16" s="33" t="s">
        <v>3</v>
      </c>
      <c r="E16" s="20" t="s">
        <v>112</v>
      </c>
      <c r="F16" s="57">
        <f>VLOOKUP(B16,'Song Tracker'!$A$3:$F$48,6,FALSE)</f>
        <v>3.472222222222222E-3</v>
      </c>
    </row>
    <row r="17" spans="1:6" ht="22" customHeight="1" x14ac:dyDescent="0.2">
      <c r="A17" s="35">
        <v>15</v>
      </c>
      <c r="B17" s="20" t="s">
        <v>80</v>
      </c>
      <c r="C17" s="34"/>
      <c r="D17" s="33" t="s">
        <v>3</v>
      </c>
      <c r="E17" s="20" t="s">
        <v>39</v>
      </c>
      <c r="F17" s="57">
        <f>VLOOKUP(B17,'Song Tracker'!$A$3:$F$48,6,FALSE)</f>
        <v>2.6041666666666665E-3</v>
      </c>
    </row>
    <row r="18" spans="1:6" ht="22" customHeight="1" x14ac:dyDescent="0.2">
      <c r="A18" s="35">
        <v>16</v>
      </c>
      <c r="B18" s="20" t="s">
        <v>76</v>
      </c>
      <c r="C18" s="33" t="s">
        <v>2</v>
      </c>
      <c r="D18" s="33" t="s">
        <v>3</v>
      </c>
      <c r="E18" s="20" t="s">
        <v>31</v>
      </c>
      <c r="F18" s="57">
        <f>VLOOKUP(B18,'Song Tracker'!$A$3:$F$48,6,FALSE)</f>
        <v>2.5115740740740741E-3</v>
      </c>
    </row>
    <row r="19" spans="1:6" ht="22" customHeight="1" x14ac:dyDescent="0.2">
      <c r="A19" s="35">
        <v>17</v>
      </c>
      <c r="B19" s="20" t="s">
        <v>50</v>
      </c>
      <c r="C19" s="33" t="s">
        <v>2</v>
      </c>
      <c r="D19" s="33" t="s">
        <v>3</v>
      </c>
      <c r="E19" s="20" t="s">
        <v>48</v>
      </c>
      <c r="F19" s="57">
        <f>VLOOKUP(B19,'Song Tracker'!$A$3:$F$48,6,FALSE)</f>
        <v>3.3449074074074076E-3</v>
      </c>
    </row>
    <row r="20" spans="1:6" ht="22" customHeight="1" x14ac:dyDescent="0.2">
      <c r="A20" s="35">
        <v>18</v>
      </c>
      <c r="B20" s="20" t="s">
        <v>101</v>
      </c>
      <c r="C20" s="33" t="s">
        <v>2</v>
      </c>
      <c r="D20" s="33" t="s">
        <v>3</v>
      </c>
      <c r="E20" s="20" t="s">
        <v>31</v>
      </c>
      <c r="F20" s="57">
        <v>4.1319444444444442E-3</v>
      </c>
    </row>
    <row r="21" spans="1:6" ht="22" customHeight="1" x14ac:dyDescent="0.2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 x14ac:dyDescent="0.2">
      <c r="A22" s="35">
        <v>20</v>
      </c>
      <c r="B22" s="20" t="s">
        <v>104</v>
      </c>
      <c r="C22" s="33" t="s">
        <v>2</v>
      </c>
      <c r="D22" s="33" t="s">
        <v>3</v>
      </c>
      <c r="E22" s="20" t="s">
        <v>36</v>
      </c>
      <c r="F22" s="57">
        <f>VLOOKUP(B22,'Song Tracker'!$A$3:$F$48,6,FALSE)</f>
        <v>2.4305555555555556E-3</v>
      </c>
    </row>
    <row r="23" spans="1:6" ht="22" customHeight="1" x14ac:dyDescent="0.2">
      <c r="A23" s="35">
        <v>22</v>
      </c>
      <c r="B23" s="20" t="s">
        <v>46</v>
      </c>
      <c r="C23" s="33" t="s">
        <v>2</v>
      </c>
      <c r="D23" s="33" t="s">
        <v>3</v>
      </c>
      <c r="E23" s="20" t="s">
        <v>48</v>
      </c>
      <c r="F23" s="57">
        <v>1.7476851851851852E-3</v>
      </c>
    </row>
    <row r="24" spans="1:6" ht="22" customHeight="1" x14ac:dyDescent="0.2">
      <c r="A24" s="35">
        <v>23</v>
      </c>
      <c r="B24" s="20" t="s">
        <v>92</v>
      </c>
      <c r="C24" s="33" t="s">
        <v>2</v>
      </c>
      <c r="D24" s="33" t="s">
        <v>3</v>
      </c>
      <c r="E24" s="20" t="s">
        <v>36</v>
      </c>
      <c r="F24" s="57">
        <v>2.0486111111111113E-3</v>
      </c>
    </row>
    <row r="25" spans="1:6" ht="22" customHeight="1" x14ac:dyDescent="0.2">
      <c r="A25" s="35">
        <v>24</v>
      </c>
      <c r="B25" s="20" t="s">
        <v>78</v>
      </c>
      <c r="C25" s="33" t="s">
        <v>2</v>
      </c>
      <c r="D25" s="33" t="s">
        <v>3</v>
      </c>
      <c r="E25" s="20" t="s">
        <v>39</v>
      </c>
      <c r="F25" s="57">
        <v>2.5810185185185185E-3</v>
      </c>
    </row>
    <row r="26" spans="1:6" ht="22" customHeight="1" x14ac:dyDescent="0.2">
      <c r="A26" s="35">
        <v>25</v>
      </c>
      <c r="B26" s="20" t="s">
        <v>103</v>
      </c>
      <c r="C26" s="33" t="s">
        <v>2</v>
      </c>
      <c r="D26" s="33" t="s">
        <v>3</v>
      </c>
      <c r="E26" s="20" t="s">
        <v>31</v>
      </c>
      <c r="F26" s="57">
        <v>5.9606481481481481E-3</v>
      </c>
    </row>
    <row r="27" spans="1:6" ht="22" customHeight="1" x14ac:dyDescent="0.2">
      <c r="A27" s="35">
        <v>26</v>
      </c>
      <c r="B27" s="20" t="s">
        <v>74</v>
      </c>
      <c r="C27" s="33" t="s">
        <v>2</v>
      </c>
      <c r="D27" s="33" t="s">
        <v>3</v>
      </c>
      <c r="E27" s="20" t="s">
        <v>39</v>
      </c>
      <c r="F27" s="57">
        <v>4.6874999999999998E-3</v>
      </c>
    </row>
    <row r="28" spans="1:6" ht="22" customHeight="1" x14ac:dyDescent="0.2">
      <c r="A28" s="35">
        <v>27</v>
      </c>
      <c r="B28" s="20" t="s">
        <v>118</v>
      </c>
      <c r="C28" s="33" t="s">
        <v>2</v>
      </c>
      <c r="D28" s="33" t="s">
        <v>3</v>
      </c>
      <c r="E28" s="20" t="s">
        <v>36</v>
      </c>
      <c r="F28" s="57">
        <f>VLOOKUP(B28,'Song Tracker'!$A$3:$F$48,6,FALSE)</f>
        <v>3.472222222222222E-3</v>
      </c>
    </row>
    <row r="29" spans="1:6" x14ac:dyDescent="0.2">
      <c r="A29" s="24"/>
      <c r="B29" s="19"/>
      <c r="C29" s="26"/>
      <c r="D29" s="26"/>
      <c r="E29" s="19"/>
      <c r="F29" s="58"/>
    </row>
    <row r="30" spans="1:6" ht="22" customHeight="1" thickBot="1" x14ac:dyDescent="0.25">
      <c r="A30" s="29"/>
      <c r="B30" s="30" t="s">
        <v>244</v>
      </c>
      <c r="C30" s="31"/>
      <c r="D30" s="31"/>
      <c r="E30" s="30"/>
      <c r="F30" s="32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 x14ac:dyDescent="0.2">
      <c r="A13" s="35">
        <v>11</v>
      </c>
      <c r="B13" s="20" t="s">
        <v>97</v>
      </c>
      <c r="C13" s="33" t="s">
        <v>2</v>
      </c>
      <c r="D13" s="33" t="s">
        <v>3</v>
      </c>
      <c r="E13" s="20" t="s">
        <v>31</v>
      </c>
      <c r="F13" s="57">
        <v>3.2291666666666666E-3</v>
      </c>
    </row>
    <row r="14" spans="1:6" ht="22" customHeight="1" x14ac:dyDescent="0.2">
      <c r="A14" s="35">
        <v>1</v>
      </c>
      <c r="B14" s="20" t="s">
        <v>110</v>
      </c>
      <c r="C14" s="33" t="s">
        <v>2</v>
      </c>
      <c r="D14" s="33" t="s">
        <v>3</v>
      </c>
      <c r="E14" s="20" t="s">
        <v>112</v>
      </c>
      <c r="F14" s="57">
        <f>VLOOKUP(B14,'Song Tracker'!$A$3:$F$48,6,FALSE)</f>
        <v>3.472222222222222E-3</v>
      </c>
    </row>
    <row r="15" spans="1:6" ht="22" customHeight="1" x14ac:dyDescent="0.2">
      <c r="A15" s="35">
        <v>2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 x14ac:dyDescent="0.2">
      <c r="A16" s="35">
        <v>3</v>
      </c>
      <c r="B16" s="20" t="s">
        <v>101</v>
      </c>
      <c r="C16" s="33" t="s">
        <v>2</v>
      </c>
      <c r="D16" s="33" t="s">
        <v>3</v>
      </c>
      <c r="E16" s="20" t="s">
        <v>31</v>
      </c>
      <c r="F16" s="57">
        <v>4.1319444444444442E-3</v>
      </c>
    </row>
    <row r="17" spans="1:6" ht="22" customHeight="1" x14ac:dyDescent="0.2">
      <c r="A17" s="35">
        <v>4</v>
      </c>
      <c r="B17" s="20" t="s">
        <v>104</v>
      </c>
      <c r="C17" s="33" t="s">
        <v>2</v>
      </c>
      <c r="D17" s="33" t="s">
        <v>3</v>
      </c>
      <c r="E17" s="20" t="s">
        <v>36</v>
      </c>
      <c r="F17" s="57">
        <f>VLOOKUP(B17,'Song Tracker'!$A$3:$F$48,6,FALSE)</f>
        <v>2.4305555555555556E-3</v>
      </c>
    </row>
    <row r="18" spans="1:6" ht="22" customHeight="1" x14ac:dyDescent="0.2">
      <c r="A18" s="35">
        <v>5</v>
      </c>
      <c r="B18" s="20" t="s">
        <v>46</v>
      </c>
      <c r="C18" s="33" t="s">
        <v>2</v>
      </c>
      <c r="D18" s="33" t="s">
        <v>3</v>
      </c>
      <c r="E18" s="20" t="s">
        <v>48</v>
      </c>
      <c r="F18" s="57">
        <v>1.7476851851851852E-3</v>
      </c>
    </row>
    <row r="19" spans="1:6" ht="22" customHeight="1" x14ac:dyDescent="0.2">
      <c r="A19" s="35">
        <v>6</v>
      </c>
      <c r="B19" s="20" t="s">
        <v>92</v>
      </c>
      <c r="C19" s="33" t="s">
        <v>2</v>
      </c>
      <c r="D19" s="33" t="s">
        <v>3</v>
      </c>
      <c r="E19" s="20" t="s">
        <v>36</v>
      </c>
      <c r="F19" s="57">
        <v>2.0486111111111113E-3</v>
      </c>
    </row>
    <row r="20" spans="1:6" ht="22" customHeight="1" x14ac:dyDescent="0.2">
      <c r="A20" s="35">
        <v>7</v>
      </c>
      <c r="B20" s="20" t="s">
        <v>78</v>
      </c>
      <c r="C20" s="33" t="s">
        <v>2</v>
      </c>
      <c r="D20" s="33" t="s">
        <v>3</v>
      </c>
      <c r="E20" s="20" t="s">
        <v>39</v>
      </c>
      <c r="F20" s="57">
        <v>2.5810185185185185E-3</v>
      </c>
    </row>
    <row r="21" spans="1:6" ht="22" customHeight="1" x14ac:dyDescent="0.2">
      <c r="A21" s="35">
        <v>8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 x14ac:dyDescent="0.2">
      <c r="A22" s="35">
        <v>9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 ht="22" customHeight="1" x14ac:dyDescent="0.2">
      <c r="A23" s="35">
        <v>10</v>
      </c>
      <c r="B23" s="20" t="s">
        <v>74</v>
      </c>
      <c r="C23" s="33" t="s">
        <v>2</v>
      </c>
      <c r="D23" s="33" t="s">
        <v>3</v>
      </c>
      <c r="E23" s="20" t="s">
        <v>39</v>
      </c>
      <c r="F23" s="57">
        <v>4.6874999999999998E-3</v>
      </c>
    </row>
    <row r="24" spans="1:6" x14ac:dyDescent="0.2">
      <c r="A24" s="24"/>
      <c r="B24" s="19"/>
      <c r="C24" s="26"/>
      <c r="D24" s="26"/>
      <c r="E24" s="19"/>
      <c r="F24" s="58"/>
    </row>
    <row r="25" spans="1:6" ht="22" customHeight="1" thickBot="1" x14ac:dyDescent="0.25">
      <c r="A25" s="29"/>
      <c r="B25" s="30" t="s">
        <v>244</v>
      </c>
      <c r="C25" s="31"/>
      <c r="D25" s="31"/>
      <c r="E25" s="30"/>
      <c r="F25" s="32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262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 x14ac:dyDescent="0.2">
      <c r="A6" s="35">
        <v>4</v>
      </c>
      <c r="B6" s="20" t="s">
        <v>63</v>
      </c>
      <c r="C6" s="33" t="s">
        <v>2</v>
      </c>
      <c r="D6" s="33" t="s">
        <v>3</v>
      </c>
      <c r="E6" s="20" t="s">
        <v>31</v>
      </c>
      <c r="F6" s="57">
        <v>2.7893518518518519E-3</v>
      </c>
    </row>
    <row r="7" spans="1:6" ht="22" customHeight="1" x14ac:dyDescent="0.2">
      <c r="A7" s="35">
        <v>5</v>
      </c>
      <c r="B7" s="20" t="s">
        <v>65</v>
      </c>
      <c r="C7" s="33" t="s">
        <v>2</v>
      </c>
      <c r="D7" s="33" t="s">
        <v>3</v>
      </c>
      <c r="E7" s="20" t="s">
        <v>36</v>
      </c>
      <c r="F7" s="57">
        <v>2.488425925925926E-3</v>
      </c>
    </row>
    <row r="8" spans="1:6" ht="22" customHeight="1" x14ac:dyDescent="0.2">
      <c r="A8" s="35">
        <v>6</v>
      </c>
      <c r="B8" s="20" t="s">
        <v>94</v>
      </c>
      <c r="C8" s="33" t="s">
        <v>2</v>
      </c>
      <c r="D8" s="33" t="s">
        <v>3</v>
      </c>
      <c r="E8" s="20" t="s">
        <v>39</v>
      </c>
      <c r="F8" s="57">
        <v>3.5995370370370369E-3</v>
      </c>
    </row>
    <row r="9" spans="1:6" ht="22" customHeight="1" x14ac:dyDescent="0.2">
      <c r="A9" s="35">
        <v>7</v>
      </c>
      <c r="B9" s="20" t="s">
        <v>92</v>
      </c>
      <c r="C9" s="33" t="s">
        <v>2</v>
      </c>
      <c r="D9" s="33" t="s">
        <v>3</v>
      </c>
      <c r="E9" s="20" t="s">
        <v>36</v>
      </c>
      <c r="F9" s="57">
        <v>2.0486111111111113E-3</v>
      </c>
    </row>
    <row r="10" spans="1:6" ht="22" customHeight="1" x14ac:dyDescent="0.2">
      <c r="A10" s="35">
        <v>8</v>
      </c>
      <c r="B10" s="20" t="s">
        <v>97</v>
      </c>
      <c r="C10" s="33" t="s">
        <v>2</v>
      </c>
      <c r="D10" s="33" t="s">
        <v>3</v>
      </c>
      <c r="E10" s="20" t="s">
        <v>31</v>
      </c>
      <c r="F10" s="57">
        <v>3.2291666666666666E-3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 ht="22" customHeight="1" x14ac:dyDescent="0.2">
      <c r="A13" s="35">
        <v>11</v>
      </c>
      <c r="B13" s="20" t="s">
        <v>74</v>
      </c>
      <c r="C13" s="33" t="s">
        <v>2</v>
      </c>
      <c r="D13" s="33" t="s">
        <v>3</v>
      </c>
      <c r="E13" s="20" t="s">
        <v>39</v>
      </c>
      <c r="F13" s="57">
        <v>4.6874999999999998E-3</v>
      </c>
    </row>
    <row r="14" spans="1:6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263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 x14ac:dyDescent="0.2">
      <c r="A13" s="35">
        <v>11</v>
      </c>
      <c r="B13" s="20" t="s">
        <v>46</v>
      </c>
      <c r="C13" s="33" t="s">
        <v>2</v>
      </c>
      <c r="D13" s="33" t="s">
        <v>3</v>
      </c>
      <c r="E13" s="20" t="s">
        <v>48</v>
      </c>
      <c r="F13" s="57">
        <v>1.7476851851851852E-3</v>
      </c>
    </row>
    <row r="14" spans="1:6" ht="22" customHeight="1" x14ac:dyDescent="0.2">
      <c r="A14" s="35">
        <v>12</v>
      </c>
      <c r="B14" s="20" t="s">
        <v>101</v>
      </c>
      <c r="C14" s="33" t="s">
        <v>2</v>
      </c>
      <c r="D14" s="33" t="s">
        <v>3</v>
      </c>
      <c r="E14" s="20" t="s">
        <v>31</v>
      </c>
      <c r="F14" s="57">
        <v>4.1319444444444442E-3</v>
      </c>
    </row>
    <row r="15" spans="1:6" ht="22" customHeight="1" x14ac:dyDescent="0.2">
      <c r="A15" s="35">
        <v>13</v>
      </c>
      <c r="B15" s="20" t="s">
        <v>78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 x14ac:dyDescent="0.2">
      <c r="A16" s="35">
        <v>14</v>
      </c>
      <c r="B16" s="20" t="s">
        <v>123</v>
      </c>
      <c r="C16" s="33" t="s">
        <v>2</v>
      </c>
      <c r="D16" s="33" t="s">
        <v>3</v>
      </c>
      <c r="E16" s="20" t="s">
        <v>36</v>
      </c>
      <c r="F16" s="57">
        <v>3.3217592592592595E-3</v>
      </c>
    </row>
    <row r="17" spans="1:6" ht="22" customHeight="1" x14ac:dyDescent="0.2">
      <c r="A17" s="35">
        <v>15</v>
      </c>
      <c r="B17" s="20" t="s">
        <v>97</v>
      </c>
      <c r="C17" s="33" t="s">
        <v>2</v>
      </c>
      <c r="D17" s="33" t="s">
        <v>3</v>
      </c>
      <c r="E17" s="20" t="s">
        <v>31</v>
      </c>
      <c r="F17" s="57">
        <v>3.2291666666666666E-3</v>
      </c>
    </row>
    <row r="18" spans="1:6" ht="22" customHeight="1" x14ac:dyDescent="0.2">
      <c r="A18" s="35">
        <v>16</v>
      </c>
      <c r="B18" s="20" t="s">
        <v>103</v>
      </c>
      <c r="C18" s="33" t="s">
        <v>2</v>
      </c>
      <c r="D18" s="33" t="s">
        <v>3</v>
      </c>
      <c r="E18" s="20" t="s">
        <v>31</v>
      </c>
      <c r="F18" s="57">
        <v>5.9606481481481481E-3</v>
      </c>
    </row>
    <row r="19" spans="1:6" x14ac:dyDescent="0.2">
      <c r="A19" s="24"/>
      <c r="B19" s="19"/>
      <c r="C19" s="26"/>
      <c r="D19" s="26"/>
      <c r="E19" s="19"/>
      <c r="F19" s="58"/>
    </row>
    <row r="20" spans="1:6" ht="22" customHeight="1" thickBot="1" x14ac:dyDescent="0.25">
      <c r="A20" s="29"/>
      <c r="B20" s="30" t="s">
        <v>244</v>
      </c>
      <c r="C20" s="31"/>
      <c r="D20" s="31"/>
      <c r="E20" s="30"/>
      <c r="F20" s="32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264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 x14ac:dyDescent="0.2">
      <c r="A6" s="35">
        <v>4</v>
      </c>
      <c r="B6" s="20" t="s">
        <v>123</v>
      </c>
      <c r="C6" s="33" t="s">
        <v>2</v>
      </c>
      <c r="D6" s="33" t="s">
        <v>3</v>
      </c>
      <c r="E6" s="20" t="s">
        <v>36</v>
      </c>
      <c r="F6" s="57">
        <v>3.3217592592592595E-3</v>
      </c>
    </row>
    <row r="7" spans="1:6" ht="22" customHeight="1" x14ac:dyDescent="0.2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 x14ac:dyDescent="0.2">
      <c r="A8" s="35">
        <v>6</v>
      </c>
      <c r="B8" s="20" t="s">
        <v>104</v>
      </c>
      <c r="C8" s="33" t="s">
        <v>2</v>
      </c>
      <c r="D8" s="33" t="s">
        <v>3</v>
      </c>
      <c r="E8" s="20" t="s">
        <v>36</v>
      </c>
      <c r="F8" s="57">
        <f>VLOOKUP(B8,'Song Tracker'!$A$3:$F$48,6,FALSE)</f>
        <v>2.4305555555555556E-3</v>
      </c>
    </row>
    <row r="9" spans="1:6" ht="22" customHeight="1" x14ac:dyDescent="0.2">
      <c r="A9" s="35">
        <v>7</v>
      </c>
      <c r="B9" s="20" t="s">
        <v>101</v>
      </c>
      <c r="C9" s="33" t="s">
        <v>2</v>
      </c>
      <c r="D9" s="33" t="s">
        <v>3</v>
      </c>
      <c r="E9" s="20" t="s">
        <v>31</v>
      </c>
      <c r="F9" s="57">
        <v>4.1319444444444442E-3</v>
      </c>
    </row>
    <row r="10" spans="1:6" ht="22" customHeight="1" x14ac:dyDescent="0.2">
      <c r="A10" s="35">
        <v>8</v>
      </c>
      <c r="B10" s="20" t="s">
        <v>74</v>
      </c>
      <c r="C10" s="33" t="s">
        <v>2</v>
      </c>
      <c r="D10" s="33" t="s">
        <v>3</v>
      </c>
      <c r="E10" s="20" t="s">
        <v>39</v>
      </c>
      <c r="F10" s="57">
        <v>4.6874999999999998E-3</v>
      </c>
    </row>
    <row r="11" spans="1:6" ht="22" customHeight="1" x14ac:dyDescent="0.2">
      <c r="A11" s="35">
        <v>9</v>
      </c>
      <c r="B11" s="20" t="s">
        <v>63</v>
      </c>
      <c r="C11" s="33" t="s">
        <v>2</v>
      </c>
      <c r="D11" s="33" t="s">
        <v>3</v>
      </c>
      <c r="E11" s="20" t="s">
        <v>31</v>
      </c>
      <c r="F11" s="57">
        <v>2.7893518518518519E-3</v>
      </c>
    </row>
    <row r="12" spans="1:6" ht="22" customHeight="1" x14ac:dyDescent="0.2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 x14ac:dyDescent="0.2">
      <c r="A13" s="35">
        <v>11</v>
      </c>
      <c r="B13" s="20" t="s">
        <v>103</v>
      </c>
      <c r="C13" s="33" t="s">
        <v>2</v>
      </c>
      <c r="D13" s="33" t="s">
        <v>3</v>
      </c>
      <c r="E13" s="20" t="s">
        <v>31</v>
      </c>
      <c r="F13" s="57">
        <v>5.9606481481481481E-3</v>
      </c>
    </row>
    <row r="14" spans="1:6" ht="22" customHeight="1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265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 x14ac:dyDescent="0.2">
      <c r="A5" s="35">
        <v>3</v>
      </c>
      <c r="B5" s="20" t="s">
        <v>96</v>
      </c>
      <c r="C5" s="33" t="s">
        <v>2</v>
      </c>
      <c r="D5" s="33" t="s">
        <v>3</v>
      </c>
      <c r="E5" s="20" t="s">
        <v>48</v>
      </c>
      <c r="F5" s="57">
        <f>VLOOKUP(B5,'Song Tracker'!$A$3:$F$48,6,FALSE)</f>
        <v>1.9675925925925924E-3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 x14ac:dyDescent="0.2">
      <c r="A8" s="35">
        <v>6</v>
      </c>
      <c r="B8" s="20" t="s">
        <v>123</v>
      </c>
      <c r="C8" s="33" t="s">
        <v>2</v>
      </c>
      <c r="D8" s="33" t="s">
        <v>3</v>
      </c>
      <c r="E8" s="20" t="s">
        <v>36</v>
      </c>
      <c r="F8" s="57">
        <v>3.3217592592592595E-3</v>
      </c>
    </row>
    <row r="9" spans="1:6" ht="22" customHeight="1" x14ac:dyDescent="0.2">
      <c r="A9" s="35">
        <v>7</v>
      </c>
      <c r="B9" s="20" t="s">
        <v>61</v>
      </c>
      <c r="C9" s="34"/>
      <c r="D9" s="33" t="s">
        <v>3</v>
      </c>
      <c r="E9" s="20" t="s">
        <v>31</v>
      </c>
      <c r="F9" s="57">
        <f>VLOOKUP(B9,'Song Tracker'!$A$3:$F$48,6,FALSE)</f>
        <v>1.7708333333333332E-3</v>
      </c>
    </row>
    <row r="10" spans="1:6" ht="22" customHeight="1" x14ac:dyDescent="0.2">
      <c r="A10" s="35">
        <v>8</v>
      </c>
      <c r="B10" s="20" t="s">
        <v>78</v>
      </c>
      <c r="C10" s="33" t="s">
        <v>2</v>
      </c>
      <c r="D10" s="33" t="s">
        <v>3</v>
      </c>
      <c r="E10" s="20" t="s">
        <v>39</v>
      </c>
      <c r="F10" s="57">
        <v>2.5810185185185185E-3</v>
      </c>
    </row>
    <row r="11" spans="1:6" ht="22" customHeight="1" x14ac:dyDescent="0.2">
      <c r="A11" s="35">
        <v>9</v>
      </c>
      <c r="B11" s="20" t="s">
        <v>127</v>
      </c>
      <c r="C11" s="33" t="s">
        <v>2</v>
      </c>
      <c r="D11" s="33" t="s">
        <v>3</v>
      </c>
      <c r="E11" s="20" t="s">
        <v>31</v>
      </c>
      <c r="F11" s="57">
        <v>2.0949074074074073E-3</v>
      </c>
    </row>
    <row r="12" spans="1:6" ht="22" customHeight="1" x14ac:dyDescent="0.2">
      <c r="A12" s="35">
        <v>10</v>
      </c>
      <c r="B12" s="20" t="s">
        <v>74</v>
      </c>
      <c r="C12" s="33" t="s">
        <v>2</v>
      </c>
      <c r="D12" s="33" t="s">
        <v>3</v>
      </c>
      <c r="E12" s="20" t="s">
        <v>39</v>
      </c>
      <c r="F12" s="57">
        <v>4.6874999999999998E-3</v>
      </c>
    </row>
    <row r="13" spans="1:6" x14ac:dyDescent="0.2">
      <c r="A13" s="24"/>
      <c r="B13" s="19"/>
      <c r="C13" s="26"/>
      <c r="D13" s="26"/>
      <c r="E13" s="19"/>
      <c r="F13" s="58"/>
    </row>
    <row r="14" spans="1:6" ht="22" customHeight="1" thickBot="1" x14ac:dyDescent="0.25">
      <c r="A14" s="29"/>
      <c r="B14" s="30" t="s">
        <v>244</v>
      </c>
      <c r="C14" s="31"/>
      <c r="D14" s="31"/>
      <c r="E14" s="30"/>
      <c r="F14" s="32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2026-06-02T13:41:27Z</dcterms:modified>
  <cp:category/>
  <cp:contentStatus/>
</cp:coreProperties>
</file>