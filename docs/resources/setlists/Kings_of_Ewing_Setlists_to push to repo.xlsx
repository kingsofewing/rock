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ilesshultz/Documents/kings_website/rock/docs/resources/setlists/"/>
    </mc:Choice>
  </mc:AlternateContent>
  <xr:revisionPtr revIDLastSave="0" documentId="8_{9296CDFC-C279-654C-A10C-C9F82928F89D}" xr6:coauthVersionLast="47" xr6:coauthVersionMax="47" xr10:uidLastSave="{00000000-0000-0000-0000-000000000000}"/>
  <bookViews>
    <workbookView xWindow="4560" yWindow="3660" windowWidth="28920" windowHeight="16920" xr2:uid="{00000000-000D-0000-FFFF-FFFF00000000}"/>
  </bookViews>
  <sheets>
    <sheet name="Song Tracker" sheetId="1" r:id="rId1"/>
    <sheet name="Gig Tracker" sheetId="2" r:id="rId2"/>
    <sheet name="Potential Songs" sheetId="3" r:id="rId3"/>
    <sheet name="Potential Gigs" sheetId="4" r:id="rId4"/>
    <sheet name="Expenses" sheetId="5" r:id="rId5"/>
    <sheet name="2026-06-24 Ridgeville Parks" sheetId="6" r:id="rId6"/>
    <sheet name="2026-06-21 Chicago Union" sheetId="7" r:id="rId7"/>
    <sheet name="2026-05-16 Fat Shallot" sheetId="8" r:id="rId8"/>
    <sheet name="2026-05-14 Fat Shallot" sheetId="9" r:id="rId9"/>
    <sheet name="2026-05-02 Lincolnwood" sheetId="10" r:id="rId10"/>
    <sheet name="2026-04-22 Spring Cha Ching" sheetId="11" r:id="rId11"/>
    <sheet name="2026-01-24 Goat Village" sheetId="12" r:id="rId12"/>
    <sheet name="2025-11-16 Double Clutch" sheetId="13" r:id="rId13"/>
    <sheet name="2025-09-06 Block Party" sheetId="14" r:id="rId14"/>
    <sheet name="2025-06-25 American Legion" sheetId="15" r:id="rId15"/>
    <sheet name="2025-06-07 Fat Shallot" sheetId="16" r:id="rId16"/>
    <sheet name="2025-05-03 Lincolnwood" sheetId="17" r:id="rId17"/>
    <sheet name="2024-10-09 Fat Shallot" sheetId="18" r:id="rId18"/>
    <sheet name="2024-09-07 Block Party" sheetId="19" r:id="rId19"/>
    <sheet name="2024-08-10 Fat Shallot" sheetId="20" r:id="rId20"/>
    <sheet name="2024-07-13 Chicago Union" sheetId="21" r:id="rId21"/>
    <sheet name="2024-06-08 Fat Shallot" sheetId="22" r:id="rId22"/>
    <sheet name="2024-04-27 Lincolnwood" sheetId="23" r:id="rId23"/>
    <sheet name="2023-09-09 Block Party" sheetId="24" r:id="rId24"/>
  </sheets>
  <definedNames>
    <definedName name="_xlnm.Print_Area" localSheetId="8">'2026-05-14 Fat Shallot'!$A$1:$F$20</definedName>
    <definedName name="_xlnm.Print_Area" localSheetId="7">'2026-05-16 Fat Shallot'!$A$1:$F$29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1" l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F30" i="8"/>
  <c r="F10" i="9"/>
  <c r="F20" i="9" s="1"/>
  <c r="F5" i="24"/>
  <c r="F6" i="24"/>
  <c r="F9" i="24"/>
  <c r="F7" i="23"/>
  <c r="F8" i="23"/>
  <c r="F11" i="22"/>
  <c r="F20" i="22" s="1"/>
  <c r="F11" i="21"/>
  <c r="F15" i="21" s="1"/>
  <c r="F10" i="20"/>
  <c r="F11" i="20"/>
  <c r="F14" i="20"/>
  <c r="F15" i="20"/>
  <c r="F17" i="20"/>
  <c r="F10" i="19"/>
  <c r="F11" i="19"/>
  <c r="F12" i="19"/>
  <c r="F16" i="19"/>
  <c r="F17" i="19"/>
  <c r="F18" i="19"/>
  <c r="F19" i="19"/>
  <c r="F22" i="19"/>
  <c r="F28" i="19"/>
  <c r="F7" i="18"/>
  <c r="F11" i="18"/>
  <c r="F3" i="17"/>
  <c r="F10" i="17"/>
  <c r="F6" i="16"/>
  <c r="F9" i="16"/>
  <c r="F15" i="16"/>
  <c r="F6" i="15"/>
  <c r="F10" i="15"/>
  <c r="F12" i="15"/>
  <c r="F19" i="15"/>
  <c r="F25" i="15"/>
  <c r="F27" i="15"/>
  <c r="F7" i="14"/>
  <c r="F12" i="14"/>
  <c r="F14" i="14"/>
  <c r="F7" i="13"/>
  <c r="F12" i="13"/>
  <c r="F30" i="12"/>
  <c r="F33" i="12"/>
  <c r="F14" i="11"/>
  <c r="F3" i="10"/>
  <c r="F21" i="10" s="1"/>
  <c r="F4" i="7"/>
  <c r="F4" i="6"/>
  <c r="F35" i="12" l="1"/>
  <c r="F14" i="24"/>
  <c r="F25" i="20"/>
  <c r="F18" i="14"/>
  <c r="F18" i="17"/>
  <c r="F30" i="19"/>
  <c r="F15" i="23"/>
  <c r="F17" i="13"/>
  <c r="F32" i="15"/>
  <c r="F15" i="18"/>
  <c r="F24" i="16"/>
</calcChain>
</file>

<file path=xl/sharedStrings.xml><?xml version="1.0" encoding="utf-8"?>
<sst xmlns="http://schemas.openxmlformats.org/spreadsheetml/2006/main" count="2171" uniqueCount="275">
  <si>
    <t>KINGS OF EWING — SONG TRACKER</t>
  </si>
  <si>
    <t>Song</t>
  </si>
  <si>
    <t>PDF</t>
  </si>
  <si>
    <t>Web</t>
  </si>
  <si>
    <t>Artist</t>
  </si>
  <si>
    <t>Artist Gender</t>
  </si>
  <si>
    <t>Duration</t>
  </si>
  <si>
    <t>Vocal(s)</t>
  </si>
  <si>
    <t>Instrument Swap</t>
  </si>
  <si>
    <t>Gig Ready</t>
  </si>
  <si>
    <t>Decade</t>
  </si>
  <si>
    <t>Never Played Live</t>
  </si>
  <si>
    <t>2026-05-14
Fat Shallot</t>
  </si>
  <si>
    <t>2026-05-02
Lincolnwood</t>
  </si>
  <si>
    <t>2026-04-22
Spring Cha Ching</t>
  </si>
  <si>
    <t>2026-01-24
Goat Village</t>
  </si>
  <si>
    <t>2025-11-16
Double Clutch</t>
  </si>
  <si>
    <t>2025-09-06
Block Party</t>
  </si>
  <si>
    <t>2025-06-25
American Legion</t>
  </si>
  <si>
    <t>2025-06-07
Fat Shallot</t>
  </si>
  <si>
    <t>2025-05-03
Lincolnwood</t>
  </si>
  <si>
    <t>2024-10-09
Fat Shallot</t>
  </si>
  <si>
    <t>2024-09-07
Block Party</t>
  </si>
  <si>
    <t>2024-08-10
Fat Shallot</t>
  </si>
  <si>
    <t>2024-07-13
Chicago Union</t>
  </si>
  <si>
    <t>2024-06-08
Fat Shallot</t>
  </si>
  <si>
    <t>2024-04-27
Lincolnwood</t>
  </si>
  <si>
    <t>2023-09-09
Block Party</t>
  </si>
  <si>
    <t>Angel From Montgomery</t>
  </si>
  <si>
    <t>John Prine</t>
  </si>
  <si>
    <t>M</t>
  </si>
  <si>
    <t>Miles</t>
  </si>
  <si>
    <t>✓</t>
  </si>
  <si>
    <t>70s</t>
  </si>
  <si>
    <t>Black</t>
  </si>
  <si>
    <t>Pearl Jam</t>
  </si>
  <si>
    <t>Drew</t>
  </si>
  <si>
    <t>90s</t>
  </si>
  <si>
    <t>Dandy Warhols</t>
  </si>
  <si>
    <t>Matt</t>
  </si>
  <si>
    <t>00s</t>
  </si>
  <si>
    <t>Come Together</t>
  </si>
  <si>
    <t>The Beatles</t>
  </si>
  <si>
    <t>60s</t>
  </si>
  <si>
    <t>Crossroads</t>
  </si>
  <si>
    <t>Cream</t>
  </si>
  <si>
    <t>Dedicated Follower Of Fashion</t>
  </si>
  <si>
    <t>The King</t>
  </si>
  <si>
    <t>Jack</t>
  </si>
  <si>
    <t>Don't Let Me Down</t>
  </si>
  <si>
    <t>Don't Look Back In Anger</t>
  </si>
  <si>
    <t>Oasis</t>
  </si>
  <si>
    <t>Down By The River</t>
  </si>
  <si>
    <t>Neil Young</t>
  </si>
  <si>
    <t>End Of The World</t>
  </si>
  <si>
    <t>R.E.M.</t>
  </si>
  <si>
    <t>80s</t>
  </si>
  <si>
    <t>Follow Your Arrow</t>
  </si>
  <si>
    <t>Kasey Musgraves</t>
  </si>
  <si>
    <t>F</t>
  </si>
  <si>
    <t>10s</t>
  </si>
  <si>
    <t>For What It's Worth</t>
  </si>
  <si>
    <t>Buffalo Springfield</t>
  </si>
  <si>
    <t>Fortunate Son</t>
  </si>
  <si>
    <t>Credence Clearwater Revival</t>
  </si>
  <si>
    <t>Found Out About You</t>
  </si>
  <si>
    <t>Gin Blossom</t>
  </si>
  <si>
    <t>From The Start</t>
  </si>
  <si>
    <t>Laufey</t>
  </si>
  <si>
    <t>20s</t>
  </si>
  <si>
    <t>Guess Again</t>
  </si>
  <si>
    <t>Jeff Tweedy</t>
  </si>
  <si>
    <t>Head Over Heels</t>
  </si>
  <si>
    <t>Tears for Fears</t>
  </si>
  <si>
    <t>Heroes</t>
  </si>
  <si>
    <t>David Bowie</t>
  </si>
  <si>
    <t>I've Got A Feeling</t>
  </si>
  <si>
    <t>The Beates</t>
  </si>
  <si>
    <t>Just Like Heaven</t>
  </si>
  <si>
    <t>The Cure</t>
  </si>
  <si>
    <t>Just What I Needed</t>
  </si>
  <si>
    <t>The Cars</t>
  </si>
  <si>
    <t>Kings Of Ewing</t>
  </si>
  <si>
    <t>Kings of Ewing</t>
  </si>
  <si>
    <t>Original</t>
  </si>
  <si>
    <t>Laid</t>
  </si>
  <si>
    <t>James</t>
  </si>
  <si>
    <t>Let Me Roll It</t>
  </si>
  <si>
    <t>Wings</t>
  </si>
  <si>
    <t>Little By Little</t>
  </si>
  <si>
    <t>Message In A Bottle</t>
  </si>
  <si>
    <t>The Police</t>
  </si>
  <si>
    <t>Midnight Rider</t>
  </si>
  <si>
    <t>The Allman Brothers Band</t>
  </si>
  <si>
    <t>No One To Depend On</t>
  </si>
  <si>
    <t>Santana</t>
  </si>
  <si>
    <t>Octopus's Garden</t>
  </si>
  <si>
    <t>Ohio</t>
  </si>
  <si>
    <t>CSNY</t>
  </si>
  <si>
    <t>Pink Pony Club</t>
  </si>
  <si>
    <t>Chappel Roan</t>
  </si>
  <si>
    <t>Riders On The Storm</t>
  </si>
  <si>
    <t>The Door</t>
  </si>
  <si>
    <t>Rockin' In The Free World</t>
  </si>
  <si>
    <t>Seven Nation Army</t>
  </si>
  <si>
    <t>White Stripes</t>
  </si>
  <si>
    <t>Smooth Operator</t>
  </si>
  <si>
    <t>Sade</t>
  </si>
  <si>
    <t>Starlight</t>
  </si>
  <si>
    <t>Muse</t>
  </si>
  <si>
    <t>Sympathy For The Devil</t>
  </si>
  <si>
    <t>Rolling Stones</t>
  </si>
  <si>
    <t>Nate</t>
  </si>
  <si>
    <t>Teach Your Children</t>
  </si>
  <si>
    <t>That's What I Love</t>
  </si>
  <si>
    <t>Leon Bridges</t>
  </si>
  <si>
    <t>The Seeker</t>
  </si>
  <si>
    <t>The Who</t>
  </si>
  <si>
    <t>Voodoo Child</t>
  </si>
  <si>
    <t>Jimi Hendrix</t>
  </si>
  <si>
    <t>Walk On</t>
  </si>
  <si>
    <t>War Pigs</t>
  </si>
  <si>
    <t xml:space="preserve">Black Sabbath </t>
  </si>
  <si>
    <t>Whipping Post</t>
  </si>
  <si>
    <t>Who's That Lady</t>
  </si>
  <si>
    <t>The Isley Brothers</t>
  </si>
  <si>
    <t>Instrumental</t>
  </si>
  <si>
    <t>Won't Back Down</t>
  </si>
  <si>
    <t>Tom Petty and the Heartbreakers</t>
  </si>
  <si>
    <t>KINGS OF EWING — GIG LOG</t>
  </si>
  <si>
    <t>Date</t>
  </si>
  <si>
    <t>Time</t>
  </si>
  <si>
    <t>Venue</t>
  </si>
  <si>
    <t>Event</t>
  </si>
  <si>
    <t># Songs</t>
  </si>
  <si>
    <t>Gig Length</t>
  </si>
  <si>
    <t>Venue Name</t>
  </si>
  <si>
    <t>Venue Email</t>
  </si>
  <si>
    <t>Event Name</t>
  </si>
  <si>
    <t>Event Email</t>
  </si>
  <si>
    <t>Pay</t>
  </si>
  <si>
    <t>Notes</t>
  </si>
  <si>
    <t>2023-09-09</t>
  </si>
  <si>
    <t>5:00 PM</t>
  </si>
  <si>
    <t>Block Party</t>
  </si>
  <si>
    <t>Ewing Block Party</t>
  </si>
  <si>
    <t>2024-04-27</t>
  </si>
  <si>
    <t>6:00 PM</t>
  </si>
  <si>
    <t>Lincolnwood</t>
  </si>
  <si>
    <t>Spring Fling</t>
  </si>
  <si>
    <t>2024-06-08</t>
  </si>
  <si>
    <t>Fat Shallot</t>
  </si>
  <si>
    <t>info@thefatshallot.com</t>
  </si>
  <si>
    <t>2024-07-13</t>
  </si>
  <si>
    <t>Chicago Union</t>
  </si>
  <si>
    <t>Chicago Union FC</t>
  </si>
  <si>
    <t>J.A. Cohen (Jeff)</t>
  </si>
  <si>
    <t>jacohenmusic@gmail.com</t>
  </si>
  <si>
    <t>2024-08-10</t>
  </si>
  <si>
    <t>2024-09-07</t>
  </si>
  <si>
    <t>2024-10-09</t>
  </si>
  <si>
    <t>Covenant Nursery Dining for Dollars</t>
  </si>
  <si>
    <t>2025-05-03</t>
  </si>
  <si>
    <t>2025-06-07</t>
  </si>
  <si>
    <t>2025-06-25</t>
  </si>
  <si>
    <t>American Legion</t>
  </si>
  <si>
    <t>2025-09-06</t>
  </si>
  <si>
    <t>2025-10-18</t>
  </si>
  <si>
    <t>Mack's Bike &amp; Goods</t>
  </si>
  <si>
    <t>Kelly Mack</t>
  </si>
  <si>
    <t>kelly@macksbikeandgoods.com</t>
  </si>
  <si>
    <t>Cancelled due to weather</t>
  </si>
  <si>
    <t>2025-11-16</t>
  </si>
  <si>
    <t>7:00 PM</t>
  </si>
  <si>
    <t>Double Clutch</t>
  </si>
  <si>
    <t>Bundled Blessings Fundraiser</t>
  </si>
  <si>
    <t>Nick Murray</t>
  </si>
  <si>
    <t>nmurray@doubleclutchbrewing.com</t>
  </si>
  <si>
    <t>Krys Juleen</t>
  </si>
  <si>
    <t>krys@faithatfirst.com</t>
  </si>
  <si>
    <t>2026-01-24</t>
  </si>
  <si>
    <t>Goat Village</t>
  </si>
  <si>
    <t>goatvillage777@gmail.com</t>
  </si>
  <si>
    <t>2026-04-22</t>
  </si>
  <si>
    <t>Spring Cha Ching</t>
  </si>
  <si>
    <t>2026-05-02</t>
  </si>
  <si>
    <t>2026-05-14</t>
  </si>
  <si>
    <t>5:30 PM</t>
  </si>
  <si>
    <t>Kim Stanton</t>
  </si>
  <si>
    <t>kims@covenantnurseryschool.org</t>
  </si>
  <si>
    <t>2026-05-16</t>
  </si>
  <si>
    <t>Greg's 40th Birthday</t>
  </si>
  <si>
    <t>Jenny Sprenzel</t>
  </si>
  <si>
    <t>Jenny.Sprenzel@rushortho.com</t>
  </si>
  <si>
    <t>Ridgeville Parks</t>
  </si>
  <si>
    <t>Natalie Sallee</t>
  </si>
  <si>
    <t>programs@ridgeville.org</t>
  </si>
  <si>
    <t>KINGS OF EWING — POTENTIAL SONGS</t>
  </si>
  <si>
    <t>song</t>
  </si>
  <si>
    <t>artist</t>
  </si>
  <si>
    <t>who suggested it</t>
  </si>
  <si>
    <t>decade</t>
  </si>
  <si>
    <t>notes</t>
  </si>
  <si>
    <t>web url</t>
  </si>
  <si>
    <t>Cortez the Killer</t>
  </si>
  <si>
    <t>Down By the River replacement</t>
  </si>
  <si>
    <t>https://tabs.ultimate-guitar.com/tab/neil-young/cortez-the-killer-official-2878016</t>
  </si>
  <si>
    <t>Short Skirt/Long Jacket</t>
  </si>
  <si>
    <t>Cake</t>
  </si>
  <si>
    <t>Matt will sing</t>
  </si>
  <si>
    <t>https://tabs.ultimate-guitar.com/tab/cake/short-skirt-long-jacket-official-2175899</t>
  </si>
  <si>
    <t>Blinding Lights</t>
  </si>
  <si>
    <t>The Weeknd</t>
  </si>
  <si>
    <t>https://tabs.ultimate-guitar.com/tab/the-weeknd/blinding-lights-official-3018305</t>
  </si>
  <si>
    <t>Electric Feel</t>
  </si>
  <si>
    <t>MGMT</t>
  </si>
  <si>
    <t>Miles could sing — needs falsetto. 90% about finding right patches for Matt</t>
  </si>
  <si>
    <t>https://tabs.ultimate-guitar.com/tab/mgmt/electric-feel-official-2099683</t>
  </si>
  <si>
    <t>Sunny Afternoon</t>
  </si>
  <si>
    <t>The Kinks</t>
  </si>
  <si>
    <t>https://tabs.ultimate-guitar.com/tab/the-kinks/sunny-afternoon-official-2139793</t>
  </si>
  <si>
    <t>KINGS OF EWING — POTENTIAL GIGS</t>
  </si>
  <si>
    <t>Name</t>
  </si>
  <si>
    <t>Email</t>
  </si>
  <si>
    <t>Date Reached Out</t>
  </si>
  <si>
    <t>Proposed Date</t>
  </si>
  <si>
    <t>Status</t>
  </si>
  <si>
    <t>Downtown Evanston</t>
  </si>
  <si>
    <t>Andy Vick</t>
  </si>
  <si>
    <t>avick@downtownevanston.org</t>
  </si>
  <si>
    <t>2025-05-05</t>
  </si>
  <si>
    <t>Waiting</t>
  </si>
  <si>
    <t>Puts music line-up together in January — follow up Jan 2026</t>
  </si>
  <si>
    <t>Stippler Block Party</t>
  </si>
  <si>
    <t>Nicole Stippler</t>
  </si>
  <si>
    <t>nicole@stippler.com</t>
  </si>
  <si>
    <t>2025-09-02</t>
  </si>
  <si>
    <t>Saw us at Lincolnwood Spring Fling. Last minute inquiry for block party closer. Asked about rates and availability.</t>
  </si>
  <si>
    <t>Description</t>
  </si>
  <si>
    <t>Paid By</t>
  </si>
  <si>
    <t>Amount</t>
  </si>
  <si>
    <t>2026-06-24 — Ridgeville Parks District — 6:00 PM</t>
  </si>
  <si>
    <t>#</t>
  </si>
  <si>
    <t>Vocals</t>
  </si>
  <si>
    <t>Total Set Length</t>
  </si>
  <si>
    <t>2026-06-21 — Chicago Union FC — ETHS Lazier Field — 5:00 PM</t>
  </si>
  <si>
    <t>2026-05-16 — Fat Shallot — 7:00-9:00 PM</t>
  </si>
  <si>
    <t>Bohemian Like You</t>
  </si>
  <si>
    <t>BREAK</t>
  </si>
  <si>
    <t>2026-05-02 — Lincolnwood PTA Spring Fling</t>
  </si>
  <si>
    <t>opener</t>
  </si>
  <si>
    <t>2026-04-22 — American Legion (D65 Spring Cha Ching)</t>
  </si>
  <si>
    <t>2026-01-24 — Goat Village</t>
  </si>
  <si>
    <t>2025-11-16 — Double Clutch (Bundled Blessings Fundraiser)</t>
  </si>
  <si>
    <t>2025-09-06 — Ewing Block Party</t>
  </si>
  <si>
    <t>2025-06-25 — American Legion</t>
  </si>
  <si>
    <t>2025-06-07 — Fat Shallot</t>
  </si>
  <si>
    <t>*encore</t>
  </si>
  <si>
    <t>2025-05-03 — Lincolnwood PTA Spring Fling</t>
  </si>
  <si>
    <t>encore</t>
  </si>
  <si>
    <t>2024-10-09 — Fat Shallot (Covenant Nursery Dining for Dollars)</t>
  </si>
  <si>
    <t>2024-09-07 — Ewing Block Party</t>
  </si>
  <si>
    <t>2024-08-10 — Fat Shallot</t>
  </si>
  <si>
    <t>2024-07-13 — Chicago Union (NU Soccer)</t>
  </si>
  <si>
    <t>2024-06-08 — Fat Shallot</t>
  </si>
  <si>
    <t>2024-04-27 — Lincolnwood PTA Spring Fling</t>
  </si>
  <si>
    <t>2023-09-09 — Ewing Block Party</t>
  </si>
  <si>
    <t>2026-05-14 — Fat Shallot — 5:30 PM</t>
  </si>
  <si>
    <t>2026-05-16
Fat Shallot</t>
  </si>
  <si>
    <t>Honest Mistake</t>
  </si>
  <si>
    <t>The Bravery</t>
  </si>
  <si>
    <t>Drea</t>
  </si>
  <si>
    <t>Total Times Played</t>
  </si>
  <si>
    <t>KINGS OF EWING — FINANCES</t>
  </si>
  <si>
    <t>gig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</si>
</sst>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m]:ss"/>
    <numFmt numFmtId="166" formatCode="yyyy\-mm\-dd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rgb="FF000000"/>
      <name val="Courier New"/>
      <family val="1"/>
    </font>
    <font>
      <sz val="12"/>
      <color rgb="FF000000"/>
      <name val="Courier New"/>
      <family val="1"/>
    </font>
    <font>
      <sz val="14"/>
      <color rgb="FF000000"/>
      <name val="Courier New"/>
      <family val="1"/>
    </font>
    <font>
      <u/>
      <sz val="12"/>
      <color rgb="FF000000"/>
      <name val="Courier New"/>
      <family val="1"/>
    </font>
    <font>
      <sz val="11"/>
      <color theme="1"/>
      <name val="Calibri"/>
      <family val="2"/>
      <scheme val="minor"/>
    </font>
    <font>
      <sz val="12"/>
      <color theme="1"/>
      <name val="Courier New"/>
      <family val="1"/>
    </font>
    <font>
      <sz val="12"/>
      <color theme="10"/>
      <name val="Calibri"/>
      <family val="2"/>
      <scheme val="minor"/>
    </font>
    <font>
      <sz val="11"/>
      <name val="Courier New"/>
      <family val="1"/>
    </font>
    <font>
      <u/>
      <sz val="12"/>
      <color rgb="FF0563C1"/>
      <name val="Courier New"/>
      <family val="1"/>
    </font>
    <font>
      <u/>
      <sz val="13"/>
      <color rgb="FF0563C1"/>
      <name val="Courier New"/>
      <family val="1"/>
    </font>
    <font>
      <u/>
      <sz val="12"/>
      <color theme="10"/>
      <name val="Courier New"/>
      <family val="1"/>
    </font>
    <font>
      <sz val="14"/>
      <color theme="1"/>
      <name val="Calibri"/>
      <family val="2"/>
      <scheme val="minor"/>
    </font>
    <font>
      <sz val="14"/>
      <color theme="1"/>
      <name val="Courier New"/>
      <family val="1"/>
    </font>
    <font>
      <u/>
      <sz val="12"/>
      <color rgb="FF0000FF"/>
      <name val="Courier New"/>
      <family val="1"/>
    </font>
    <font>
      <sz val="11"/>
      <color rgb="FF000000"/>
      <name val="Calibri"/>
      <family val="2"/>
      <scheme val="minor"/>
    </font>
    <font>
      <b/>
      <sz val="14"/>
      <color rgb="FF000000"/>
      <name val="Courier New"/>
      <family val="1"/>
    </font>
    <font>
      <b/>
      <sz val="14"/>
      <color rgb="FF000000"/>
      <name val="Calibri"/>
      <family val="2"/>
      <scheme val="minor"/>
    </font>
    <font>
      <b/>
      <sz val="13"/>
      <color rgb="FF000000"/>
      <name val="Courier New"/>
      <family val="1"/>
    </font>
    <font>
      <b/>
      <sz val="12"/>
      <color rgb="FF000000"/>
      <name val="Courier New"/>
      <family val="1"/>
    </font>
    <font>
      <sz val="11"/>
      <color rgb="FF000000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</fills>
  <borders count="56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thick">
        <color auto="1"/>
      </top>
      <bottom style="thick">
        <color auto="1"/>
      </bottom>
      <diagonal/>
    </border>
    <border>
      <left style="thin">
        <color rgb="FFCCCCCC"/>
      </left>
      <right style="thin">
        <color rgb="FFCCCCCC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CCCCCC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CCCCCC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44" fontId="6" fillId="0" borderId="0"/>
    <xf numFmtId="0" fontId="8" fillId="0" borderId="0"/>
  </cellStyleXfs>
  <cellXfs count="146">
    <xf numFmtId="0" fontId="0" fillId="0" borderId="0" xfId="0"/>
    <xf numFmtId="0" fontId="0" fillId="0" borderId="0" xfId="0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 wrapText="1"/>
    </xf>
    <xf numFmtId="0" fontId="0" fillId="0" borderId="6" xfId="0" applyBorder="1"/>
    <xf numFmtId="44" fontId="0" fillId="0" borderId="0" xfId="1" applyFont="1"/>
    <xf numFmtId="164" fontId="0" fillId="0" borderId="0" xfId="1" applyNumberFormat="1" applyFont="1"/>
    <xf numFmtId="0" fontId="7" fillId="0" borderId="0" xfId="0" applyFont="1"/>
    <xf numFmtId="0" fontId="1" fillId="0" borderId="0" xfId="0" applyFont="1"/>
    <xf numFmtId="44" fontId="7" fillId="0" borderId="0" xfId="1" applyFont="1"/>
    <xf numFmtId="44" fontId="1" fillId="0" borderId="0" xfId="1" applyFont="1"/>
    <xf numFmtId="0" fontId="13" fillId="0" borderId="3" xfId="0" applyFont="1" applyBorder="1"/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7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11" xfId="0" applyFont="1" applyBorder="1"/>
    <xf numFmtId="0" fontId="19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16" fillId="0" borderId="8" xfId="0" applyFont="1" applyBorder="1"/>
    <xf numFmtId="0" fontId="3" fillId="0" borderId="8" xfId="0" applyFont="1" applyBorder="1" applyAlignment="1">
      <alignment horizontal="left" vertical="center"/>
    </xf>
    <xf numFmtId="0" fontId="19" fillId="0" borderId="1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20" fillId="0" borderId="13" xfId="0" applyFont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46" fontId="20" fillId="0" borderId="16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0" fillId="2" borderId="3" xfId="0" applyFill="1" applyBorder="1"/>
    <xf numFmtId="0" fontId="0" fillId="2" borderId="3" xfId="0" applyFill="1" applyBorder="1" applyAlignment="1">
      <alignment horizontal="left"/>
    </xf>
    <xf numFmtId="0" fontId="12" fillId="2" borderId="0" xfId="2" applyFont="1" applyFill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4" fillId="2" borderId="3" xfId="0" applyFont="1" applyFill="1" applyBorder="1" applyAlignment="1">
      <alignment horizontal="left" vertical="center"/>
    </xf>
    <xf numFmtId="0" fontId="13" fillId="2" borderId="3" xfId="0" applyFont="1" applyFill="1" applyBorder="1"/>
    <xf numFmtId="0" fontId="14" fillId="2" borderId="3" xfId="0" applyFont="1" applyFill="1" applyBorder="1"/>
    <xf numFmtId="0" fontId="4" fillId="2" borderId="6" xfId="0" applyFont="1" applyFill="1" applyBorder="1" applyAlignment="1">
      <alignment horizontal="left" vertical="center"/>
    </xf>
    <xf numFmtId="0" fontId="0" fillId="2" borderId="6" xfId="0" applyFill="1" applyBorder="1"/>
    <xf numFmtId="0" fontId="2" fillId="2" borderId="6" xfId="0" applyFont="1" applyFill="1" applyBorder="1" applyAlignment="1">
      <alignment horizontal="left" vertical="center"/>
    </xf>
    <xf numFmtId="164" fontId="0" fillId="2" borderId="3" xfId="1" applyNumberFormat="1" applyFont="1" applyFill="1" applyBorder="1"/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left" vertical="center"/>
    </xf>
    <xf numFmtId="164" fontId="3" fillId="2" borderId="2" xfId="1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14" fontId="7" fillId="2" borderId="0" xfId="0" applyNumberFormat="1" applyFont="1" applyFill="1"/>
    <xf numFmtId="44" fontId="7" fillId="2" borderId="0" xfId="1" applyFont="1" applyFill="1"/>
    <xf numFmtId="165" fontId="3" fillId="2" borderId="2" xfId="0" applyNumberFormat="1" applyFont="1" applyFill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65" fontId="16" fillId="0" borderId="15" xfId="0" applyNumberFormat="1" applyFont="1" applyBorder="1" applyAlignment="1">
      <alignment horizont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5" fontId="3" fillId="0" borderId="21" xfId="0" applyNumberFormat="1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165" fontId="16" fillId="0" borderId="21" xfId="0" applyNumberFormat="1" applyFont="1" applyBorder="1" applyAlignment="1">
      <alignment horizont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/>
    </xf>
    <xf numFmtId="0" fontId="20" fillId="0" borderId="23" xfId="0" applyFont="1" applyBorder="1" applyAlignment="1">
      <alignment horizontal="center" vertical="center"/>
    </xf>
    <xf numFmtId="46" fontId="20" fillId="0" borderId="24" xfId="0" applyNumberFormat="1" applyFont="1" applyBorder="1" applyAlignment="1">
      <alignment horizontal="center" vertical="center"/>
    </xf>
    <xf numFmtId="18" fontId="3" fillId="2" borderId="2" xfId="0" applyNumberFormat="1" applyFont="1" applyFill="1" applyBorder="1" applyAlignment="1">
      <alignment horizontal="center" vertical="center"/>
    </xf>
    <xf numFmtId="165" fontId="3" fillId="2" borderId="30" xfId="0" applyNumberFormat="1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10" fillId="2" borderId="34" xfId="0" applyFont="1" applyFill="1" applyBorder="1" applyAlignment="1">
      <alignment horizontal="left" vertical="center"/>
    </xf>
    <xf numFmtId="0" fontId="10" fillId="2" borderId="35" xfId="0" applyFont="1" applyFill="1" applyBorder="1" applyAlignment="1">
      <alignment horizontal="left" vertical="center"/>
    </xf>
    <xf numFmtId="165" fontId="3" fillId="2" borderId="36" xfId="0" applyNumberFormat="1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10" fillId="2" borderId="37" xfId="0" applyFont="1" applyFill="1" applyBorder="1" applyAlignment="1">
      <alignment horizontal="left" vertical="center"/>
    </xf>
    <xf numFmtId="0" fontId="10" fillId="2" borderId="38" xfId="0" applyFont="1" applyFill="1" applyBorder="1" applyAlignment="1">
      <alignment horizontal="left" vertical="center"/>
    </xf>
    <xf numFmtId="0" fontId="15" fillId="2" borderId="37" xfId="2" applyFont="1" applyFill="1" applyBorder="1" applyAlignment="1">
      <alignment horizontal="left" vertical="center"/>
    </xf>
    <xf numFmtId="0" fontId="12" fillId="0" borderId="39" xfId="2" applyFont="1" applyBorder="1" applyAlignment="1">
      <alignment horizontal="left" vertical="center"/>
    </xf>
    <xf numFmtId="0" fontId="10" fillId="2" borderId="31" xfId="0" applyFont="1" applyFill="1" applyBorder="1" applyAlignment="1">
      <alignment horizontal="left" vertical="center"/>
    </xf>
    <xf numFmtId="0" fontId="10" fillId="2" borderId="40" xfId="0" applyFont="1" applyFill="1" applyBorder="1" applyAlignment="1">
      <alignment horizontal="left" vertical="center"/>
    </xf>
    <xf numFmtId="0" fontId="3" fillId="2" borderId="41" xfId="0" applyFont="1" applyFill="1" applyBorder="1" applyAlignment="1">
      <alignment horizontal="left" vertical="center" wrapText="1"/>
    </xf>
    <xf numFmtId="0" fontId="3" fillId="2" borderId="41" xfId="0" applyFont="1" applyFill="1" applyBorder="1" applyAlignment="1">
      <alignment horizontal="left" vertical="center"/>
    </xf>
    <xf numFmtId="165" fontId="21" fillId="2" borderId="30" xfId="0" applyNumberFormat="1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20" fillId="2" borderId="46" xfId="0" applyFont="1" applyFill="1" applyBorder="1" applyAlignment="1">
      <alignment horizontal="left" vertical="center"/>
    </xf>
    <xf numFmtId="46" fontId="20" fillId="2" borderId="47" xfId="0" applyNumberFormat="1" applyFont="1" applyFill="1" applyBorder="1" applyAlignment="1">
      <alignment horizontal="left" vertical="center"/>
    </xf>
    <xf numFmtId="0" fontId="3" fillId="4" borderId="42" xfId="0" applyFont="1" applyFill="1" applyBorder="1" applyAlignment="1">
      <alignment horizontal="left" vertical="center" wrapText="1"/>
    </xf>
    <xf numFmtId="0" fontId="10" fillId="4" borderId="43" xfId="0" applyFont="1" applyFill="1" applyBorder="1" applyAlignment="1">
      <alignment horizontal="left" vertical="center"/>
    </xf>
    <xf numFmtId="0" fontId="10" fillId="4" borderId="38" xfId="0" applyFont="1" applyFill="1" applyBorder="1" applyAlignment="1">
      <alignment horizontal="left" vertical="center"/>
    </xf>
    <xf numFmtId="165" fontId="3" fillId="4" borderId="44" xfId="0" applyNumberFormat="1" applyFont="1" applyFill="1" applyBorder="1" applyAlignment="1">
      <alignment horizontal="left" vertical="center" wrapText="1"/>
    </xf>
    <xf numFmtId="14" fontId="10" fillId="2" borderId="0" xfId="2" applyNumberFormat="1" applyFont="1" applyFill="1" applyAlignment="1">
      <alignment horizontal="left"/>
    </xf>
    <xf numFmtId="14" fontId="3" fillId="2" borderId="2" xfId="0" applyNumberFormat="1" applyFont="1" applyFill="1" applyBorder="1" applyAlignment="1">
      <alignment horizontal="left" vertical="center"/>
    </xf>
    <xf numFmtId="166" fontId="10" fillId="2" borderId="0" xfId="2" applyNumberFormat="1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3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5" fontId="3" fillId="5" borderId="2" xfId="0" applyNumberFormat="1" applyFont="1" applyFill="1" applyBorder="1" applyAlignment="1">
      <alignment horizontal="center" vertical="center"/>
    </xf>
    <xf numFmtId="0" fontId="0" fillId="5" borderId="0" xfId="0" applyFill="1"/>
    <xf numFmtId="0" fontId="12" fillId="5" borderId="0" xfId="2" applyFont="1" applyFill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left" vertical="center"/>
    </xf>
    <xf numFmtId="0" fontId="3" fillId="5" borderId="49" xfId="0" applyFont="1" applyFill="1" applyBorder="1" applyAlignment="1">
      <alignment horizontal="left" vertical="center"/>
    </xf>
    <xf numFmtId="0" fontId="3" fillId="2" borderId="49" xfId="0" applyFont="1" applyFill="1" applyBorder="1" applyAlignment="1">
      <alignment horizontal="left" vertical="center"/>
    </xf>
    <xf numFmtId="0" fontId="3" fillId="2" borderId="50" xfId="0" applyFont="1" applyFill="1" applyBorder="1" applyAlignment="1">
      <alignment horizontal="left" vertical="center"/>
    </xf>
    <xf numFmtId="0" fontId="3" fillId="5" borderId="51" xfId="0" applyFont="1" applyFill="1" applyBorder="1" applyAlignment="1">
      <alignment horizontal="left" vertical="center"/>
    </xf>
    <xf numFmtId="0" fontId="3" fillId="2" borderId="51" xfId="0" applyFont="1" applyFill="1" applyBorder="1" applyAlignment="1">
      <alignment horizontal="left" vertical="center"/>
    </xf>
    <xf numFmtId="0" fontId="0" fillId="2" borderId="52" xfId="0" applyFill="1" applyBorder="1"/>
    <xf numFmtId="0" fontId="0" fillId="5" borderId="52" xfId="0" applyFill="1" applyBorder="1"/>
    <xf numFmtId="0" fontId="3" fillId="2" borderId="52" xfId="0" applyFont="1" applyFill="1" applyBorder="1" applyAlignment="1">
      <alignment horizontal="left" vertical="center"/>
    </xf>
    <xf numFmtId="0" fontId="3" fillId="5" borderId="52" xfId="0" applyFont="1" applyFill="1" applyBorder="1" applyAlignment="1">
      <alignment horizontal="left" vertical="center"/>
    </xf>
    <xf numFmtId="0" fontId="0" fillId="2" borderId="53" xfId="0" applyFill="1" applyBorder="1"/>
    <xf numFmtId="0" fontId="17" fillId="2" borderId="25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20" fillId="3" borderId="2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29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5" borderId="55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5" borderId="52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14" fontId="7" fillId="0" borderId="0" xfId="0" applyNumberFormat="1" applyFont="1"/>
  </cellXfs>
  <cellStyles count="3">
    <cellStyle name="Currency" xfId="1" builtinId="4"/>
    <cellStyle name="Hyperlink" xfId="2" builtinId="8"/>
    <cellStyle name="Normal" xfId="0" builtinId="0"/>
  </cellStyles>
  <dxfs count="2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E0E0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abs.ultimate-guitar.com/tab/gin-blossoms/found-out-about-you-official-3430250" TargetMode="External"/><Relationship Id="rId21" Type="http://schemas.openxmlformats.org/officeDocument/2006/relationships/hyperlink" Target="https://www.kingsofewing.com/docs/music/for_what_its_worth.pdf" TargetMode="External"/><Relationship Id="rId42" Type="http://schemas.openxmlformats.org/officeDocument/2006/relationships/hyperlink" Target="https://www.kingsofewing.com/docs/music/laid.pdf" TargetMode="External"/><Relationship Id="rId47" Type="http://schemas.openxmlformats.org/officeDocument/2006/relationships/hyperlink" Target="https://tabs.ultimate-guitar.com/tab/oasis/little-by-little-official-2497398" TargetMode="External"/><Relationship Id="rId63" Type="http://schemas.openxmlformats.org/officeDocument/2006/relationships/hyperlink" Target="https://tabs.ultimate-guitar.com/tab/neil-young/rockin-in-the-free-world-official-2518044" TargetMode="External"/><Relationship Id="rId68" Type="http://schemas.openxmlformats.org/officeDocument/2006/relationships/hyperlink" Target="https://www.kingsofewing.com/docs/music/starlight.pdf" TargetMode="External"/><Relationship Id="rId84" Type="http://schemas.openxmlformats.org/officeDocument/2006/relationships/hyperlink" Target="https://www.kingsofewing.com/docs/music/whipping_post.pdf" TargetMode="External"/><Relationship Id="rId89" Type="http://schemas.openxmlformats.org/officeDocument/2006/relationships/hyperlink" Target="https://tabs.ultimate-guitar.com/tab/the-dandy-warhols/bohemian-like-you-official-2829043" TargetMode="External"/><Relationship Id="rId16" Type="http://schemas.openxmlformats.org/officeDocument/2006/relationships/hyperlink" Target="https://tabs.ultimate-guitar.com/tab/neil-young/down-by-the-river-official-2701248" TargetMode="External"/><Relationship Id="rId11" Type="http://schemas.openxmlformats.org/officeDocument/2006/relationships/hyperlink" Target="https://www.kingsofewing.com/docs/music/dont%20let%20me%20down.pdf" TargetMode="External"/><Relationship Id="rId32" Type="http://schemas.openxmlformats.org/officeDocument/2006/relationships/hyperlink" Target="https://tabs.ultimate-guitar.com/tab/tears-for-fears/head-over-heels-official-2717880" TargetMode="External"/><Relationship Id="rId37" Type="http://schemas.openxmlformats.org/officeDocument/2006/relationships/hyperlink" Target="https://www.kingsofewing.com/docs/music/just%20like%20heaven.pdf" TargetMode="External"/><Relationship Id="rId53" Type="http://schemas.openxmlformats.org/officeDocument/2006/relationships/hyperlink" Target="https://tabs.ultimate-guitar.com/tab/santana/no-one-to-depend-on-chords-3337193" TargetMode="External"/><Relationship Id="rId58" Type="http://schemas.openxmlformats.org/officeDocument/2006/relationships/hyperlink" Target="https://www.kingsofewing.com/docs/music/pink_pony_club.pdf" TargetMode="External"/><Relationship Id="rId74" Type="http://schemas.openxmlformats.org/officeDocument/2006/relationships/hyperlink" Target="https://www.kingsofewing.com/docs/music/thats_what_i_love_chords.pdf" TargetMode="External"/><Relationship Id="rId79" Type="http://schemas.openxmlformats.org/officeDocument/2006/relationships/hyperlink" Target="https://tabs.ultimate-guitar.com/tab/jimi-hendrix/voodoo-child-slight-return-official-2420407" TargetMode="External"/><Relationship Id="rId5" Type="http://schemas.openxmlformats.org/officeDocument/2006/relationships/hyperlink" Target="https://www.kingsofewing.com/docs/music/come%20together%20official.pdf" TargetMode="External"/><Relationship Id="rId14" Type="http://schemas.openxmlformats.org/officeDocument/2006/relationships/hyperlink" Target="https://tabs.ultimate-guitar.com/tab/oasis/dont-look-back-in-anger-official-1910905" TargetMode="External"/><Relationship Id="rId22" Type="http://schemas.openxmlformats.org/officeDocument/2006/relationships/hyperlink" Target="https://tabs.ultimate-guitar.com/tab/buffalo-springfield/for-what-its-worth-official-1956147" TargetMode="External"/><Relationship Id="rId27" Type="http://schemas.openxmlformats.org/officeDocument/2006/relationships/hyperlink" Target="https://www.kingsofewing.com/docs/music/from%20the%20start%20official.pdf" TargetMode="External"/><Relationship Id="rId30" Type="http://schemas.openxmlformats.org/officeDocument/2006/relationships/hyperlink" Target="https://tabs.ultimate-guitar.com/tab/jeff-tweedy/guess-again-chords-3344825" TargetMode="External"/><Relationship Id="rId35" Type="http://schemas.openxmlformats.org/officeDocument/2006/relationships/hyperlink" Target="https://www.kingsofewing.com/docs/music/ive_got_a_feeling_official.pdf" TargetMode="External"/><Relationship Id="rId43" Type="http://schemas.openxmlformats.org/officeDocument/2006/relationships/hyperlink" Target="https://tabs.ultimate-guitar.com/tab/james/laid-official-2685951" TargetMode="External"/><Relationship Id="rId48" Type="http://schemas.openxmlformats.org/officeDocument/2006/relationships/hyperlink" Target="https://www.kingsofewing.com/docs/music/message_in_a_bottle.pdf" TargetMode="External"/><Relationship Id="rId56" Type="http://schemas.openxmlformats.org/officeDocument/2006/relationships/hyperlink" Target="https://www.kingsofewing.com/docs/music/ohio.pdf" TargetMode="External"/><Relationship Id="rId64" Type="http://schemas.openxmlformats.org/officeDocument/2006/relationships/hyperlink" Target="https://www.kingsofewing.com/docs/music/seven%20nation%20army.pdf" TargetMode="External"/><Relationship Id="rId69" Type="http://schemas.openxmlformats.org/officeDocument/2006/relationships/hyperlink" Target="https://tabs.ultimate-guitar.com/tab/muse/starlight-official-1940709" TargetMode="External"/><Relationship Id="rId77" Type="http://schemas.openxmlformats.org/officeDocument/2006/relationships/hyperlink" Target="https://tabs.ultimate-guitar.com/tab/the-who/the-seeker-official-2938316" TargetMode="External"/><Relationship Id="rId8" Type="http://schemas.openxmlformats.org/officeDocument/2006/relationships/hyperlink" Target="https://tabs.ultimate-guitar.com/tab/cream/crossroads-official-1983079" TargetMode="External"/><Relationship Id="rId51" Type="http://schemas.openxmlformats.org/officeDocument/2006/relationships/hyperlink" Target="https://tabs.ultimate-guitar.com/tab/the-allman-brothers-band/midnight-rider-official-2611482" TargetMode="External"/><Relationship Id="rId72" Type="http://schemas.openxmlformats.org/officeDocument/2006/relationships/hyperlink" Target="https://www.kingsofewing.com/docs/music/Teach%20Your%20Children.pdf" TargetMode="External"/><Relationship Id="rId80" Type="http://schemas.openxmlformats.org/officeDocument/2006/relationships/hyperlink" Target="https://www.kingsofewing.com/docs/music/walk_on_chords.pdf" TargetMode="External"/><Relationship Id="rId85" Type="http://schemas.openxmlformats.org/officeDocument/2006/relationships/hyperlink" Target="https://tabs.ultimate-guitar.com/tab/the-allman-brothers-band/whipping-post-official-2639163" TargetMode="External"/><Relationship Id="rId3" Type="http://schemas.openxmlformats.org/officeDocument/2006/relationships/hyperlink" Target="https://www.kingsofewing.com/docs/music/black.pdf" TargetMode="External"/><Relationship Id="rId12" Type="http://schemas.openxmlformats.org/officeDocument/2006/relationships/hyperlink" Target="https://tabs.ultimate-guitar.com/tab/the-beatles/dont-let-me-down-official-1962071" TargetMode="External"/><Relationship Id="rId17" Type="http://schemas.openxmlformats.org/officeDocument/2006/relationships/hyperlink" Target="https://www.kingsofewing.com/docs/music/end_of_the_world.pdf" TargetMode="External"/><Relationship Id="rId25" Type="http://schemas.openxmlformats.org/officeDocument/2006/relationships/hyperlink" Target="https://www.kingsofewing.com/docs/music/found%20out%20about%20you.pdf" TargetMode="External"/><Relationship Id="rId33" Type="http://schemas.openxmlformats.org/officeDocument/2006/relationships/hyperlink" Target="https://www.kingsofewing.com/docs/music/heroes.pdf" TargetMode="External"/><Relationship Id="rId38" Type="http://schemas.openxmlformats.org/officeDocument/2006/relationships/hyperlink" Target="https://tabs.ultimate-guitar.com/tab/the-cure/just-like-heaven-official-1961213" TargetMode="External"/><Relationship Id="rId46" Type="http://schemas.openxmlformats.org/officeDocument/2006/relationships/hyperlink" Target="https://www.kingsofewing.com/docs/music/little_by_little.pdf" TargetMode="External"/><Relationship Id="rId59" Type="http://schemas.openxmlformats.org/officeDocument/2006/relationships/hyperlink" Target="https://tabs.ultimate-guitar.com/tab/chappell-roan/pink-pony-club-official-5236500" TargetMode="External"/><Relationship Id="rId67" Type="http://schemas.openxmlformats.org/officeDocument/2006/relationships/hyperlink" Target="https://tabs.ultimate-guitar.com/tab/sade/smooth-operator-official-1979485" TargetMode="External"/><Relationship Id="rId20" Type="http://schemas.openxmlformats.org/officeDocument/2006/relationships/hyperlink" Target="https://tabs.ultimate-guitar.com/tab/kacey-musgraves/follow-your-arrow-official-4171309" TargetMode="External"/><Relationship Id="rId41" Type="http://schemas.openxmlformats.org/officeDocument/2006/relationships/hyperlink" Target="https://www.kingsofewing.com/docs/music/kings%20of%20ewing.pdf" TargetMode="External"/><Relationship Id="rId54" Type="http://schemas.openxmlformats.org/officeDocument/2006/relationships/hyperlink" Target="https://www.kingsofewing.com/docs/music/octopus_garden.pdf" TargetMode="External"/><Relationship Id="rId62" Type="http://schemas.openxmlformats.org/officeDocument/2006/relationships/hyperlink" Target="https://www.kingsofewing.com/docs/music/rockin%20in%20the%20free%20world.pdf" TargetMode="External"/><Relationship Id="rId70" Type="http://schemas.openxmlformats.org/officeDocument/2006/relationships/hyperlink" Target="https://www.kingsofewing.com/docs/music/sympathy%20for%20the%20devil.pdf" TargetMode="External"/><Relationship Id="rId75" Type="http://schemas.openxmlformats.org/officeDocument/2006/relationships/hyperlink" Target="https://tabs.ultimate-guitar.com/tab/leon-bridges/thats-what-i-love-chords-5492289" TargetMode="External"/><Relationship Id="rId83" Type="http://schemas.openxmlformats.org/officeDocument/2006/relationships/hyperlink" Target="https://tabs.ultimate-guitar.com/tab/black-sabbath/war-pigs-official-2003333" TargetMode="External"/><Relationship Id="rId88" Type="http://schemas.openxmlformats.org/officeDocument/2006/relationships/hyperlink" Target="https://kingsofewing.com/docs/music/Bohemian%20Like%20You.pdf" TargetMode="External"/><Relationship Id="rId1" Type="http://schemas.openxmlformats.org/officeDocument/2006/relationships/hyperlink" Target="https://www.kingsofewing.com/docs/music/angel_from_montgomery.pdf" TargetMode="External"/><Relationship Id="rId6" Type="http://schemas.openxmlformats.org/officeDocument/2006/relationships/hyperlink" Target="https://tabs.ultimate-guitar.com/tab/the-beatles/come-together-official-1950291" TargetMode="External"/><Relationship Id="rId15" Type="http://schemas.openxmlformats.org/officeDocument/2006/relationships/hyperlink" Target="https://www.kingsofewing.com/docs/music/down%20by%20the%20river.pdf" TargetMode="External"/><Relationship Id="rId23" Type="http://schemas.openxmlformats.org/officeDocument/2006/relationships/hyperlink" Target="https://www.kingsofewing.com/docs/music/fortunate%20son.pdf" TargetMode="External"/><Relationship Id="rId28" Type="http://schemas.openxmlformats.org/officeDocument/2006/relationships/hyperlink" Target="https://tabs.ultimate-guitar.com/tab/laufey/from-the-start-official-4776938" TargetMode="External"/><Relationship Id="rId36" Type="http://schemas.openxmlformats.org/officeDocument/2006/relationships/hyperlink" Target="https://tabs.ultimate-guitar.com/tab/the-beatles/ive-got-a-feeling-official-2631297" TargetMode="External"/><Relationship Id="rId49" Type="http://schemas.openxmlformats.org/officeDocument/2006/relationships/hyperlink" Target="https://tabs.ultimate-guitar.com/tab/the-police/message-in-a-bottle-official-1957169" TargetMode="External"/><Relationship Id="rId57" Type="http://schemas.openxmlformats.org/officeDocument/2006/relationships/hyperlink" Target="https://tabs.ultimate-guitar.com/tab/neil-young/ohio-official-2548995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31" Type="http://schemas.openxmlformats.org/officeDocument/2006/relationships/hyperlink" Target="https://www.kingsofewing.com/docs/music/head%20over%20heels%20official.pdf" TargetMode="External"/><Relationship Id="rId44" Type="http://schemas.openxmlformats.org/officeDocument/2006/relationships/hyperlink" Target="https://www.kingsofewing.com/docs/music/let%20me%20roll%20it%20official.pdf" TargetMode="External"/><Relationship Id="rId52" Type="http://schemas.openxmlformats.org/officeDocument/2006/relationships/hyperlink" Target="https://www.kingsofewing.com/docs/music/no%20one%20to%20depend%20on.pdf" TargetMode="External"/><Relationship Id="rId60" Type="http://schemas.openxmlformats.org/officeDocument/2006/relationships/hyperlink" Target="https://www.kingsofewing.com/docs/music/riders%20on%20the%20storm.pdf" TargetMode="External"/><Relationship Id="rId65" Type="http://schemas.openxmlformats.org/officeDocument/2006/relationships/hyperlink" Target="https://tabs.ultimate-guitar.com/tab/the-white-stripes/seven-nation-army-official-1911521" TargetMode="External"/><Relationship Id="rId73" Type="http://schemas.openxmlformats.org/officeDocument/2006/relationships/hyperlink" Target="https://tabs.ultimate-guitar.com/tab/crosby-stills-nash-young/teach-your-children-official-2815919" TargetMode="External"/><Relationship Id="rId78" Type="http://schemas.openxmlformats.org/officeDocument/2006/relationships/hyperlink" Target="https://www.kingsofewing.com/docs/music/voodoo_child.pdf" TargetMode="External"/><Relationship Id="rId81" Type="http://schemas.openxmlformats.org/officeDocument/2006/relationships/hyperlink" Target="https://tabs.ultimate-guitar.com/tab/neil-young/walk-on-chords-88633" TargetMode="External"/><Relationship Id="rId86" Type="http://schemas.openxmlformats.org/officeDocument/2006/relationships/hyperlink" Target="https://www.kingsofewing.com/docs/music/won%27t%20back%20down.pdf" TargetMode="External"/><Relationship Id="rId4" Type="http://schemas.openxmlformats.org/officeDocument/2006/relationships/hyperlink" Target="https://tabs.ultimate-guitar.com/tab/pearl-jam/black-official-2451097" TargetMode="External"/><Relationship Id="rId9" Type="http://schemas.openxmlformats.org/officeDocument/2006/relationships/hyperlink" Target="https://www.kingsofewing.com/docs/music/dedicated%20follower%20of%20fashion.pdf" TargetMode="External"/><Relationship Id="rId13" Type="http://schemas.openxmlformats.org/officeDocument/2006/relationships/hyperlink" Target="https://www.kingsofewing.com/docs/music/dont_look_back_in_anger_official.pdf" TargetMode="External"/><Relationship Id="rId18" Type="http://schemas.openxmlformats.org/officeDocument/2006/relationships/hyperlink" Target="https://tabs.ultimate-guitar.com/tab/r-e-m-/its-the-end-of-the-world-as-we-know-it-and-i-feel-fine-official-2789386" TargetMode="External"/><Relationship Id="rId39" Type="http://schemas.openxmlformats.org/officeDocument/2006/relationships/hyperlink" Target="https://www.kingsofewing.com/docs/music/just_what_i_needed.pdf" TargetMode="External"/><Relationship Id="rId34" Type="http://schemas.openxmlformats.org/officeDocument/2006/relationships/hyperlink" Target="https://tabs.ultimate-guitar.com/tab/david-bowie/heroes-official-2457982" TargetMode="External"/><Relationship Id="rId50" Type="http://schemas.openxmlformats.org/officeDocument/2006/relationships/hyperlink" Target="https://www.kingsofewing.com/docs/music/midnight%20rider.pdf" TargetMode="External"/><Relationship Id="rId55" Type="http://schemas.openxmlformats.org/officeDocument/2006/relationships/hyperlink" Target="https://tabs.ultimate-guitar.com/tab/the-beatles/octopuss-garden-official-1957271" TargetMode="External"/><Relationship Id="rId76" Type="http://schemas.openxmlformats.org/officeDocument/2006/relationships/hyperlink" Target="https://www.kingsofewing.com/docs/music/the_seeker_official.pdf" TargetMode="External"/><Relationship Id="rId7" Type="http://schemas.openxmlformats.org/officeDocument/2006/relationships/hyperlink" Target="https://www.kingsofewing.com/docs/music/Crossroads.pdf" TargetMode="External"/><Relationship Id="rId71" Type="http://schemas.openxmlformats.org/officeDocument/2006/relationships/hyperlink" Target="https://tabs.ultimate-guitar.com/tab/the-rolling-stones/sympathy-for-the-devil-official-2383129" TargetMode="External"/><Relationship Id="rId2" Type="http://schemas.openxmlformats.org/officeDocument/2006/relationships/hyperlink" Target="https://tabs.ultimate-guitar.com/tab/john-prine/angel-from-montgomery-official-3010223" TargetMode="External"/><Relationship Id="rId29" Type="http://schemas.openxmlformats.org/officeDocument/2006/relationships/hyperlink" Target="https://www.kingsofewing.com/docs/music/guess_again.pdf" TargetMode="External"/><Relationship Id="rId24" Type="http://schemas.openxmlformats.org/officeDocument/2006/relationships/hyperlink" Target="https://tabs.ultimate-guitar.com/tab/creedence-clearwater-revival/fortunate-son-official-1945887" TargetMode="External"/><Relationship Id="rId40" Type="http://schemas.openxmlformats.org/officeDocument/2006/relationships/hyperlink" Target="https://tabs.ultimate-guitar.com/tab/the-cars/just-what-i-needed-official-2212159" TargetMode="External"/><Relationship Id="rId45" Type="http://schemas.openxmlformats.org/officeDocument/2006/relationships/hyperlink" Target="https://tabs.ultimate-guitar.com/tab/wings/let-me-roll-it-official-3333080" TargetMode="External"/><Relationship Id="rId66" Type="http://schemas.openxmlformats.org/officeDocument/2006/relationships/hyperlink" Target="https://www.kingsofewing.com/docs/music/smooth_operator.pdf" TargetMode="External"/><Relationship Id="rId87" Type="http://schemas.openxmlformats.org/officeDocument/2006/relationships/hyperlink" Target="https://tabs.ultimate-guitar.com/tab/tom-petty/i-wont-back-down-official-2175865" TargetMode="External"/><Relationship Id="rId61" Type="http://schemas.openxmlformats.org/officeDocument/2006/relationships/hyperlink" Target="https://tabs.ultimate-guitar.com/tab/the-doors/riders-on-the-storm-official-2212149" TargetMode="External"/><Relationship Id="rId82" Type="http://schemas.openxmlformats.org/officeDocument/2006/relationships/hyperlink" Target="https://www.kingsofewing.com/docs/music/war_pigs_official.pdf" TargetMode="External"/><Relationship Id="rId19" Type="http://schemas.openxmlformats.org/officeDocument/2006/relationships/hyperlink" Target="https://www.kingsofewing.com/docs/music/follow_your_arrow_official.pdf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whipping_post.pdf" TargetMode="External"/><Relationship Id="rId18" Type="http://schemas.openxmlformats.org/officeDocument/2006/relationships/hyperlink" Target="https://tabs.ultimate-guitar.com/tab/the-who/the-seeker-official-2938316" TargetMode="External"/><Relationship Id="rId26" Type="http://schemas.openxmlformats.org/officeDocument/2006/relationships/hyperlink" Target="https://tabs.ultimate-guitar.com/tab/oasis/little-by-little-official-2497398" TargetMode="External"/><Relationship Id="rId39" Type="http://schemas.openxmlformats.org/officeDocument/2006/relationships/hyperlink" Target="https://www.kingsofewing.com/docs/music/end_of_the_world.pdf" TargetMode="External"/><Relationship Id="rId21" Type="http://schemas.openxmlformats.org/officeDocument/2006/relationships/hyperlink" Target="https://www.kingsofewing.com/docs/music/message_in_a_bottle.pdf" TargetMode="External"/><Relationship Id="rId34" Type="http://schemas.openxmlformats.org/officeDocument/2006/relationships/hyperlink" Target="https://tabs.ultimate-guitar.com/tab/gin-blossoms/found-out-about-you-official-3430250" TargetMode="External"/><Relationship Id="rId42" Type="http://schemas.openxmlformats.org/officeDocument/2006/relationships/hyperlink" Target="https://tabs.ultimate-guitar.com/tab/muse/starlight-official-1940709" TargetMode="External"/><Relationship Id="rId47" Type="http://schemas.openxmlformats.org/officeDocument/2006/relationships/hyperlink" Target="https://www.kingsofewing.com/docs/music/rockin%20in%20the%20free%20world.pdf" TargetMode="External"/><Relationship Id="rId50" Type="http://schemas.openxmlformats.org/officeDocument/2006/relationships/hyperlink" Target="https://tabs.ultimate-guitar.com/tab/david-bowie/heroes-official-2457982" TargetMode="External"/><Relationship Id="rId7" Type="http://schemas.openxmlformats.org/officeDocument/2006/relationships/hyperlink" Target="https://www.kingsofewing.com/docs/music/Crossroads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santana/no-one-to-depend-on-chords-3337193" TargetMode="External"/><Relationship Id="rId29" Type="http://schemas.openxmlformats.org/officeDocument/2006/relationships/hyperlink" Target="https://www.kingsofewing.com/docs/music/come%20together%20official.pdf" TargetMode="External"/><Relationship Id="rId11" Type="http://schemas.openxmlformats.org/officeDocument/2006/relationships/hyperlink" Target="https://www.kingsofewing.com/docs/music/midnight%20rider.pdf" TargetMode="External"/><Relationship Id="rId24" Type="http://schemas.openxmlformats.org/officeDocument/2006/relationships/hyperlink" Target="https://tabs.ultimate-guitar.com/tab/jeff-tweedy/guess-again-chords-3344825" TargetMode="External"/><Relationship Id="rId32" Type="http://schemas.openxmlformats.org/officeDocument/2006/relationships/hyperlink" Target="https://tabs.ultimate-guitar.com/tab/sade/smooth-operator-official-1979485" TargetMode="External"/><Relationship Id="rId37" Type="http://schemas.openxmlformats.org/officeDocument/2006/relationships/hyperlink" Target="https://www.kingsofewing.com/docs/music/just%20like%20heaven.pdf" TargetMode="External"/><Relationship Id="rId40" Type="http://schemas.openxmlformats.org/officeDocument/2006/relationships/hyperlink" Target="https://tabs.ultimate-guitar.com/tab/r-e-m-/its-the-end-of-the-world-as-we-know-it-and-i-feel-fine-official-2789386" TargetMode="External"/><Relationship Id="rId45" Type="http://schemas.openxmlformats.org/officeDocument/2006/relationships/hyperlink" Target="https://www.kingsofewing.com/docs/music/pink_pony_club.pdf" TargetMode="External"/><Relationship Id="rId5" Type="http://schemas.openxmlformats.org/officeDocument/2006/relationships/hyperlink" Target="https://www.kingsofewing.com/docs/music/ohio.pdf" TargetMode="External"/><Relationship Id="rId15" Type="http://schemas.openxmlformats.org/officeDocument/2006/relationships/hyperlink" Target="https://www.kingsofewing.com/docs/music/no%20one%20to%20depend%20on.pdf" TargetMode="External"/><Relationship Id="rId23" Type="http://schemas.openxmlformats.org/officeDocument/2006/relationships/hyperlink" Target="https://www.kingsofewing.com/docs/music/guess_again.pdf" TargetMode="External"/><Relationship Id="rId28" Type="http://schemas.openxmlformats.org/officeDocument/2006/relationships/hyperlink" Target="https://tabs.ultimate-guitar.com/tab/tom-petty/i-wont-back-down-official-2175865" TargetMode="External"/><Relationship Id="rId36" Type="http://schemas.openxmlformats.org/officeDocument/2006/relationships/hyperlink" Target="https://tabs.ultimate-guitar.com/tab/tears-for-fears/head-over-heels-official-2717880" TargetMode="External"/><Relationship Id="rId49" Type="http://schemas.openxmlformats.org/officeDocument/2006/relationships/hyperlink" Target="https://www.kingsofewing.com/docs/music/heroes.pdf" TargetMode="External"/><Relationship Id="rId10" Type="http://schemas.openxmlformats.org/officeDocument/2006/relationships/hyperlink" Target="https://tabs.ultimate-guitar.com/tab/neil-young/walk-on-chords-88633" TargetMode="External"/><Relationship Id="rId19" Type="http://schemas.openxmlformats.org/officeDocument/2006/relationships/hyperlink" Target="https://kingsofewing.com/docs/music/Bohemian%20Like%20You.pdf" TargetMode="External"/><Relationship Id="rId31" Type="http://schemas.openxmlformats.org/officeDocument/2006/relationships/hyperlink" Target="https://www.kingsofewing.com/docs/music/smooth_operator.pdf" TargetMode="External"/><Relationship Id="rId44" Type="http://schemas.openxmlformats.org/officeDocument/2006/relationships/hyperlink" Target="https://tabs.ultimate-guitar.com/tab/james/laid-official-2685951" TargetMode="External"/><Relationship Id="rId52" Type="http://schemas.openxmlformats.org/officeDocument/2006/relationships/hyperlink" Target="https://tabs.ultimate-guitar.com/tab/wings/let-me-roll-it-official-3333080" TargetMode="External"/><Relationship Id="rId4" Type="http://schemas.openxmlformats.org/officeDocument/2006/relationships/hyperlink" Target="https://tabs.ultimate-guitar.com/tab/creedence-clearwater-revival/fortunate-son-official-1945887" TargetMode="External"/><Relationship Id="rId9" Type="http://schemas.openxmlformats.org/officeDocument/2006/relationships/hyperlink" Target="https://www.kingsofewing.com/docs/music/walk_on_chords.pdf" TargetMode="External"/><Relationship Id="rId14" Type="http://schemas.openxmlformats.org/officeDocument/2006/relationships/hyperlink" Target="https://tabs.ultimate-guitar.com/tab/the-allman-brothers-band/whipping-post-official-2639163" TargetMode="External"/><Relationship Id="rId22" Type="http://schemas.openxmlformats.org/officeDocument/2006/relationships/hyperlink" Target="https://tabs.ultimate-guitar.com/tab/the-police/message-in-a-bottle-official-1957169" TargetMode="External"/><Relationship Id="rId27" Type="http://schemas.openxmlformats.org/officeDocument/2006/relationships/hyperlink" Target="https://www.kingsofewing.com/docs/music/won%27t%20back%20down.pdf" TargetMode="External"/><Relationship Id="rId30" Type="http://schemas.openxmlformats.org/officeDocument/2006/relationships/hyperlink" Target="https://tabs.ultimate-guitar.com/tab/the-beatles/come-together-official-1950291" TargetMode="External"/><Relationship Id="rId35" Type="http://schemas.openxmlformats.org/officeDocument/2006/relationships/hyperlink" Target="https://www.kingsofewing.com/docs/music/head%20over%20heels%20official.pdf" TargetMode="External"/><Relationship Id="rId43" Type="http://schemas.openxmlformats.org/officeDocument/2006/relationships/hyperlink" Target="https://www.kingsofewing.com/docs/music/laid.pdf" TargetMode="External"/><Relationship Id="rId48" Type="http://schemas.openxmlformats.org/officeDocument/2006/relationships/hyperlink" Target="https://tabs.ultimate-guitar.com/tab/neil-young/rockin-in-the-free-world-official-2518044" TargetMode="External"/><Relationship Id="rId8" Type="http://schemas.openxmlformats.org/officeDocument/2006/relationships/hyperlink" Target="https://tabs.ultimate-guitar.com/tab/cream/crossroads-official-1983079" TargetMode="External"/><Relationship Id="rId51" Type="http://schemas.openxmlformats.org/officeDocument/2006/relationships/hyperlink" Target="https://www.kingsofewing.com/docs/music/let%20me%20roll%20it%20official.pdf" TargetMode="External"/><Relationship Id="rId3" Type="http://schemas.openxmlformats.org/officeDocument/2006/relationships/hyperlink" Target="https://www.kingsofewing.com/docs/music/fortunate%20son.pdf" TargetMode="External"/><Relationship Id="rId12" Type="http://schemas.openxmlformats.org/officeDocument/2006/relationships/hyperlink" Target="https://tabs.ultimate-guitar.com/tab/the-allman-brothers-band/midnight-rider-official-2611482" TargetMode="External"/><Relationship Id="rId17" Type="http://schemas.openxmlformats.org/officeDocument/2006/relationships/hyperlink" Target="https://www.kingsofewing.com/docs/music/the_seeker_official.pdf" TargetMode="External"/><Relationship Id="rId25" Type="http://schemas.openxmlformats.org/officeDocument/2006/relationships/hyperlink" Target="https://www.kingsofewing.com/docs/music/little_by_little.pdf" TargetMode="External"/><Relationship Id="rId33" Type="http://schemas.openxmlformats.org/officeDocument/2006/relationships/hyperlink" Target="https://www.kingsofewing.com/docs/music/found%20out%20about%20you.pdf" TargetMode="External"/><Relationship Id="rId38" Type="http://schemas.openxmlformats.org/officeDocument/2006/relationships/hyperlink" Target="https://tabs.ultimate-guitar.com/tab/the-cure/just-like-heaven-official-1961213" TargetMode="External"/><Relationship Id="rId46" Type="http://schemas.openxmlformats.org/officeDocument/2006/relationships/hyperlink" Target="https://tabs.ultimate-guitar.com/tab/chappell-roan/pink-pony-club-official-5236500" TargetMode="External"/><Relationship Id="rId20" Type="http://schemas.openxmlformats.org/officeDocument/2006/relationships/hyperlink" Target="https://tabs.ultimate-guitar.com/tab/the-dandy-warhols/bohemian-like-you-official-2829043" TargetMode="External"/><Relationship Id="rId41" Type="http://schemas.openxmlformats.org/officeDocument/2006/relationships/hyperlink" Target="https://www.kingsofewing.com/docs/music/starlight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neil-young/ohio-official-2548995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cure/just-like-heaven-official-1961213" TargetMode="External"/><Relationship Id="rId13" Type="http://schemas.openxmlformats.org/officeDocument/2006/relationships/hyperlink" Target="https://www.kingsofewing.com/docs/music/Crossroads.pdf" TargetMode="External"/><Relationship Id="rId18" Type="http://schemas.openxmlformats.org/officeDocument/2006/relationships/hyperlink" Target="https://www.kingsofewing.com/docs/music/fortunate%20son.pdf" TargetMode="External"/><Relationship Id="rId26" Type="http://schemas.openxmlformats.org/officeDocument/2006/relationships/hyperlink" Target="https://www.kingsofewing.com/docs/music/end_of_the_world.pdf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tabs.ultimate-guitar.com/tab/sade/smooth-operator-official-1979485" TargetMode="External"/><Relationship Id="rId7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the-police/message-in-a-bottle-official-1957169" TargetMode="External"/><Relationship Id="rId17" Type="http://schemas.openxmlformats.org/officeDocument/2006/relationships/hyperlink" Target="https://tabs.ultimate-guitar.com/tab/santana/no-one-to-depend-on-chords-3337193" TargetMode="External"/><Relationship Id="rId25" Type="http://schemas.openxmlformats.org/officeDocument/2006/relationships/hyperlink" Target="https://tabs.ultimate-guitar.com/tab/muse/starlight-official-1940709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www.kingsofewing.com/docs/music/no%20one%20to%20depend%20on.pdf" TargetMode="External"/><Relationship Id="rId20" Type="http://schemas.openxmlformats.org/officeDocument/2006/relationships/hyperlink" Target="https://www.kingsofewing.com/docs/music/smooth_operator.pdf" TargetMode="External"/><Relationship Id="rId29" Type="http://schemas.openxmlformats.org/officeDocument/2006/relationships/hyperlink" Target="https://tabs.ultimate-guitar.com/tab/tom-petty/i-wont-back-down-official-2175865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ears-for-fears/head-over-heels-official-2717880" TargetMode="External"/><Relationship Id="rId11" Type="http://schemas.openxmlformats.org/officeDocument/2006/relationships/hyperlink" Target="https://www.kingsofewing.com/docs/music/message_in_a_bottle.pdf" TargetMode="External"/><Relationship Id="rId24" Type="http://schemas.openxmlformats.org/officeDocument/2006/relationships/hyperlink" Target="https://www.kingsofewing.com/docs/music/starlight.pdf" TargetMode="External"/><Relationship Id="rId5" Type="http://schemas.openxmlformats.org/officeDocument/2006/relationships/hyperlink" Target="https://www.kingsofewing.com/docs/music/head%20over%20heels%20official.pdf" TargetMode="External"/><Relationship Id="rId15" Type="http://schemas.openxmlformats.org/officeDocument/2006/relationships/hyperlink" Target="https://www.kingsofewing.com/docs/music/kings%20of%20ewing.pdf" TargetMode="External"/><Relationship Id="rId23" Type="http://schemas.openxmlformats.org/officeDocument/2006/relationships/hyperlink" Target="https://tabs.ultimate-guitar.com/tab/the-dandy-warhols/bohemian-like-you-official-2829043" TargetMode="External"/><Relationship Id="rId28" Type="http://schemas.openxmlformats.org/officeDocument/2006/relationships/hyperlink" Target="https://www.kingsofewing.com/docs/music/won%27t%20back%20down.pdf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tabs.ultimate-guitar.com/tab/creedence-clearwater-revival/fortunate-son-official-1945887" TargetMode="External"/><Relationship Id="rId31" Type="http://schemas.openxmlformats.org/officeDocument/2006/relationships/hyperlink" Target="https://tabs.ultimate-guitar.com/tab/the-allman-brothers-band/whipping-post-official-2639163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cream/crossroads-official-1983079" TargetMode="External"/><Relationship Id="rId22" Type="http://schemas.openxmlformats.org/officeDocument/2006/relationships/hyperlink" Target="https://www.kingsofewing.com/docs/music/Bohemian%20Like%20You.pdf" TargetMode="External"/><Relationship Id="rId27" Type="http://schemas.openxmlformats.org/officeDocument/2006/relationships/hyperlink" Target="https://tabs.ultimate-guitar.com/tab/r-e-m-/its-the-end-of-the-world-as-we-know-it-and-i-feel-fine-official-2789386" TargetMode="External"/><Relationship Id="rId30" Type="http://schemas.openxmlformats.org/officeDocument/2006/relationships/hyperlink" Target="https://www.kingsofewing.com/docs/music/whipping_post.pdf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ears-for-fears/head-over-heels-official-2717880" TargetMode="External"/><Relationship Id="rId13" Type="http://schemas.openxmlformats.org/officeDocument/2006/relationships/hyperlink" Target="https://www.kingsofewing.com/docs/music/message_in_a_bottle.pdf" TargetMode="External"/><Relationship Id="rId18" Type="http://schemas.openxmlformats.org/officeDocument/2006/relationships/hyperlink" Target="https://tabs.ultimate-guitar.com/tab/santana/no-one-to-depend-on-chords-3337193" TargetMode="External"/><Relationship Id="rId26" Type="http://schemas.openxmlformats.org/officeDocument/2006/relationships/hyperlink" Target="https://tabs.ultimate-guitar.com/tab/muse/starlight-official-1940709" TargetMode="External"/><Relationship Id="rId3" Type="http://schemas.openxmlformats.org/officeDocument/2006/relationships/hyperlink" Target="https://www.kingsofewing.com/docs/music/dont%20let%20me%20down.pdf" TargetMode="External"/><Relationship Id="rId21" Type="http://schemas.openxmlformats.org/officeDocument/2006/relationships/hyperlink" Target="https://www.kingsofewing.com/docs/music/smooth_operator.pdf" TargetMode="External"/><Relationship Id="rId7" Type="http://schemas.openxmlformats.org/officeDocument/2006/relationships/hyperlink" Target="https://www.kingsofewing.com/docs/music/head%20over%20heels%20official.pdf" TargetMode="External"/><Relationship Id="rId12" Type="http://schemas.openxmlformats.org/officeDocument/2006/relationships/hyperlink" Target="https://tabs.ultimate-guitar.com/tab/jeff-tweedy/guess-again-chords-3344825" TargetMode="External"/><Relationship Id="rId17" Type="http://schemas.openxmlformats.org/officeDocument/2006/relationships/hyperlink" Target="https://www.kingsofewing.com/docs/music/no%20one%20to%20depend%20on.pdf" TargetMode="External"/><Relationship Id="rId25" Type="http://schemas.openxmlformats.org/officeDocument/2006/relationships/hyperlink" Target="https://www.kingsofewing.com/docs/music/starlight.pdf" TargetMode="External"/><Relationship Id="rId2" Type="http://schemas.openxmlformats.org/officeDocument/2006/relationships/hyperlink" Target="https://tabs.ultimate-guitar.com/tab/the-white-stripes/seven-nation-army-official-1911521" TargetMode="External"/><Relationship Id="rId16" Type="http://schemas.openxmlformats.org/officeDocument/2006/relationships/hyperlink" Target="https://tabs.ultimate-guitar.com/tab/cream/crossroads-official-1983079" TargetMode="External"/><Relationship Id="rId20" Type="http://schemas.openxmlformats.org/officeDocument/2006/relationships/hyperlink" Target="https://tabs.ultimate-guitar.com/tab/creedence-clearwater-revival/fortunate-son-official-1945887" TargetMode="External"/><Relationship Id="rId29" Type="http://schemas.openxmlformats.org/officeDocument/2006/relationships/hyperlink" Target="https://www.kingsofewing.com/docs/music/won%27t%20back%20down.pdf" TargetMode="External"/><Relationship Id="rId1" Type="http://schemas.openxmlformats.org/officeDocument/2006/relationships/hyperlink" Target="https://www.kingsofewing.com/docs/music/seven%20nation%20army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guess_again.pdf" TargetMode="External"/><Relationship Id="rId24" Type="http://schemas.openxmlformats.org/officeDocument/2006/relationships/hyperlink" Target="https://tabs.ultimate-guitar.com/tab/the-dandy-warhols/bohemian-like-you-official-2829043" TargetMode="External"/><Relationship Id="rId32" Type="http://schemas.openxmlformats.org/officeDocument/2006/relationships/hyperlink" Target="https://tabs.ultimate-guitar.com/tab/the-allman-brothers-band/whipping-post-official-2639163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Crossroads.pdf" TargetMode="External"/><Relationship Id="rId23" Type="http://schemas.openxmlformats.org/officeDocument/2006/relationships/hyperlink" Target="https://www.kingsofewing.com/docs/music/Bohemian%20Like%20You.pdf" TargetMode="External"/><Relationship Id="rId28" Type="http://schemas.openxmlformats.org/officeDocument/2006/relationships/hyperlink" Target="https://tabs.ultimate-guitar.com/tab/r-e-m-/its-the-end-of-the-world-as-we-know-it-and-i-feel-fine-official-2789386" TargetMode="External"/><Relationship Id="rId10" Type="http://schemas.openxmlformats.org/officeDocument/2006/relationships/hyperlink" Target="https://tabs.ultimate-guitar.com/tab/the-cure/just-like-heaven-official-1961213" TargetMode="External"/><Relationship Id="rId19" Type="http://schemas.openxmlformats.org/officeDocument/2006/relationships/hyperlink" Target="https://www.kingsofewing.com/docs/music/fortunate%20son.pdf" TargetMode="External"/><Relationship Id="rId31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beatles/dont-let-me-down-official-1962071" TargetMode="External"/><Relationship Id="rId9" Type="http://schemas.openxmlformats.org/officeDocument/2006/relationships/hyperlink" Target="https://www.kingsofewing.com/docs/music/just%20like%20heaven.pdf" TargetMode="External"/><Relationship Id="rId14" Type="http://schemas.openxmlformats.org/officeDocument/2006/relationships/hyperlink" Target="https://tabs.ultimate-guitar.com/tab/the-police/message-in-a-bottle-official-1957169" TargetMode="External"/><Relationship Id="rId22" Type="http://schemas.openxmlformats.org/officeDocument/2006/relationships/hyperlink" Target="https://tabs.ultimate-guitar.com/tab/sade/smooth-operator-official-1979485" TargetMode="External"/><Relationship Id="rId27" Type="http://schemas.openxmlformats.org/officeDocument/2006/relationships/hyperlink" Target="https://www.kingsofewing.com/docs/music/end_of_the_world.pdf" TargetMode="External"/><Relationship Id="rId30" Type="http://schemas.openxmlformats.org/officeDocument/2006/relationships/hyperlink" Target="https://tabs.ultimate-guitar.com/tab/tom-petty/i-wont-back-down-official-2175865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cure/just-like-heaven-official-1961213" TargetMode="External"/><Relationship Id="rId13" Type="http://schemas.openxmlformats.org/officeDocument/2006/relationships/hyperlink" Target="https://www.kingsofewing.com/docs/music/no%20one%20to%20depend%20on.pdf" TargetMode="External"/><Relationship Id="rId18" Type="http://schemas.openxmlformats.org/officeDocument/2006/relationships/hyperlink" Target="https://tabs.ultimate-guitar.com/tab/r-e-m-/its-the-end-of-the-world-as-we-know-it-and-i-feel-fine-official-2789386" TargetMode="External"/><Relationship Id="rId3" Type="http://schemas.openxmlformats.org/officeDocument/2006/relationships/hyperlink" Target="https://www.kingsofewing.com/docs/music/pink_pony_club.pdf" TargetMode="External"/><Relationship Id="rId7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james/laid-official-2685951" TargetMode="External"/><Relationship Id="rId17" Type="http://schemas.openxmlformats.org/officeDocument/2006/relationships/hyperlink" Target="https://www.kingsofewing.com/docs/music/end_of_the_world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muse/starlight-official-1940709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ears-for-fears/head-over-heels-official-2717880" TargetMode="External"/><Relationship Id="rId11" Type="http://schemas.openxmlformats.org/officeDocument/2006/relationships/hyperlink" Target="https://www.kingsofewing.com/docs/music/laid.pdf" TargetMode="External"/><Relationship Id="rId5" Type="http://schemas.openxmlformats.org/officeDocument/2006/relationships/hyperlink" Target="https://www.kingsofewing.com/docs/music/head%20over%20heels%20official.pdf" TargetMode="External"/><Relationship Id="rId15" Type="http://schemas.openxmlformats.org/officeDocument/2006/relationships/hyperlink" Target="https://www.kingsofewing.com/docs/music/starlight.pdf" TargetMode="External"/><Relationship Id="rId10" Type="http://schemas.openxmlformats.org/officeDocument/2006/relationships/hyperlink" Target="https://tabs.ultimate-guitar.com/tab/cream/crossroads-official-1983079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Crossroads.pdf" TargetMode="External"/><Relationship Id="rId14" Type="http://schemas.openxmlformats.org/officeDocument/2006/relationships/hyperlink" Target="https://tabs.ultimate-guitar.com/tab/santana/no-one-to-depend-on-chords-3337193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just%20like%20heaven.pdf" TargetMode="External"/><Relationship Id="rId18" Type="http://schemas.openxmlformats.org/officeDocument/2006/relationships/hyperlink" Target="https://tabs.ultimate-guitar.com/tab/laufey/from-the-start-official-4776938" TargetMode="External"/><Relationship Id="rId26" Type="http://schemas.openxmlformats.org/officeDocument/2006/relationships/hyperlink" Target="https://tabs.ultimate-guitar.com/tab/creedence-clearwater-revival/fortunate-son-official-1945887" TargetMode="External"/><Relationship Id="rId39" Type="http://schemas.openxmlformats.org/officeDocument/2006/relationships/hyperlink" Target="https://www.kingsofewing.com/docs/music/Bohemian%20Like%20You.pdf" TargetMode="External"/><Relationship Id="rId21" Type="http://schemas.openxmlformats.org/officeDocument/2006/relationships/hyperlink" Target="https://www.kingsofewing.com/docs/music/no%20one%20to%20depend%20on.pdf" TargetMode="External"/><Relationship Id="rId34" Type="http://schemas.openxmlformats.org/officeDocument/2006/relationships/hyperlink" Target="https://tabs.ultimate-guitar.com/tab/the-who/the-seeker-official-2938316" TargetMode="External"/><Relationship Id="rId42" Type="http://schemas.openxmlformats.org/officeDocument/2006/relationships/hyperlink" Target="https://www.kingsofewing.com/docs/music/riders%20on%20the%20storm.pdf" TargetMode="External"/><Relationship Id="rId47" Type="http://schemas.openxmlformats.org/officeDocument/2006/relationships/hyperlink" Target="https://tabs.ultimate-guitar.com/tab/david-bowie/heroes-official-2457982" TargetMode="External"/><Relationship Id="rId50" Type="http://schemas.openxmlformats.org/officeDocument/2006/relationships/hyperlink" Target="https://www.kingsofewing.com/docs/music/come%20together%20official.pdf" TargetMode="External"/><Relationship Id="rId55" Type="http://schemas.openxmlformats.org/officeDocument/2006/relationships/hyperlink" Target="https://www.kingsofewing.com/docs/music/rockin%20in%20the%20free%20world.pdf" TargetMode="External"/><Relationship Id="rId7" Type="http://schemas.openxmlformats.org/officeDocument/2006/relationships/hyperlink" Target="https://www.kingsofewing.com/docs/music/laid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ears-for-fears/head-over-heels-official-2717880" TargetMode="External"/><Relationship Id="rId29" Type="http://schemas.openxmlformats.org/officeDocument/2006/relationships/hyperlink" Target="https://www.kingsofewing.com/docs/music/won%27t%20back%20down.pdf" TargetMode="External"/><Relationship Id="rId11" Type="http://schemas.openxmlformats.org/officeDocument/2006/relationships/hyperlink" Target="https://www.kingsofewing.com/docs/music/end_of_the_world.pdf" TargetMode="External"/><Relationship Id="rId24" Type="http://schemas.openxmlformats.org/officeDocument/2006/relationships/hyperlink" Target="https://tabs.ultimate-guitar.com/tab/sade/smooth-operator-official-1979485" TargetMode="External"/><Relationship Id="rId32" Type="http://schemas.openxmlformats.org/officeDocument/2006/relationships/hyperlink" Target="https://tabs.ultimate-guitar.com/tab/the-allman-brothers-band/whipping-post-official-2639163" TargetMode="External"/><Relationship Id="rId37" Type="http://schemas.openxmlformats.org/officeDocument/2006/relationships/hyperlink" Target="https://www.kingsofewing.com/docs/music/pink_pony_club.pdf" TargetMode="External"/><Relationship Id="rId40" Type="http://schemas.openxmlformats.org/officeDocument/2006/relationships/hyperlink" Target="https://tabs.ultimate-guitar.com/tab/the-dandy-warhols/bohemian-like-you-official-2829043" TargetMode="External"/><Relationship Id="rId45" Type="http://schemas.openxmlformats.org/officeDocument/2006/relationships/hyperlink" Target="https://tabs.ultimate-guitar.com/tab/the-allman-brothers-band/midnight-rider-official-2611482" TargetMode="External"/><Relationship Id="rId53" Type="http://schemas.openxmlformats.org/officeDocument/2006/relationships/hyperlink" Target="https://tabs.ultimate-guitar.com/tab/the-police/message-in-a-bottle-official-1957169" TargetMode="External"/><Relationship Id="rId58" Type="http://schemas.openxmlformats.org/officeDocument/2006/relationships/hyperlink" Target="https://tabs.ultimate-guitar.com/tab/jeff-tweedy/guess-again-chords-3344825" TargetMode="External"/><Relationship Id="rId5" Type="http://schemas.openxmlformats.org/officeDocument/2006/relationships/hyperlink" Target="https://www.kingsofewing.com/docs/music/ohio.pdf" TargetMode="External"/><Relationship Id="rId19" Type="http://schemas.openxmlformats.org/officeDocument/2006/relationships/hyperlink" Target="https://www.kingsofewing.com/docs/music/thats_what_i_love_chords.pdf" TargetMode="External"/><Relationship Id="rId4" Type="http://schemas.openxmlformats.org/officeDocument/2006/relationships/hyperlink" Target="https://tabs.ultimate-guitar.com/tab/gin-blossoms/found-out-about-you-official-3430250" TargetMode="External"/><Relationship Id="rId9" Type="http://schemas.openxmlformats.org/officeDocument/2006/relationships/hyperlink" Target="https://www.kingsofewing.com/docs/music/little_by_little.pdf" TargetMode="External"/><Relationship Id="rId14" Type="http://schemas.openxmlformats.org/officeDocument/2006/relationships/hyperlink" Target="https://tabs.ultimate-guitar.com/tab/the-cure/just-like-heaven-official-1961213" TargetMode="External"/><Relationship Id="rId22" Type="http://schemas.openxmlformats.org/officeDocument/2006/relationships/hyperlink" Target="https://tabs.ultimate-guitar.com/tab/santana/no-one-to-depend-on-chords-3337193" TargetMode="External"/><Relationship Id="rId27" Type="http://schemas.openxmlformats.org/officeDocument/2006/relationships/hyperlink" Target="https://www.kingsofewing.com/docs/music/starlight.pdf" TargetMode="External"/><Relationship Id="rId30" Type="http://schemas.openxmlformats.org/officeDocument/2006/relationships/hyperlink" Target="https://tabs.ultimate-guitar.com/tab/tom-petty/i-wont-back-down-official-2175865" TargetMode="External"/><Relationship Id="rId35" Type="http://schemas.openxmlformats.org/officeDocument/2006/relationships/hyperlink" Target="https://www.kingsofewing.com/docs/music/Crossroads.pdf" TargetMode="External"/><Relationship Id="rId43" Type="http://schemas.openxmlformats.org/officeDocument/2006/relationships/hyperlink" Target="https://tabs.ultimate-guitar.com/tab/the-doors/riders-on-the-storm-official-2212149" TargetMode="External"/><Relationship Id="rId48" Type="http://schemas.openxmlformats.org/officeDocument/2006/relationships/hyperlink" Target="https://www.kingsofewing.com/docs/music/dedicated%20follower%20of%20fashion.pdf" TargetMode="External"/><Relationship Id="rId56" Type="http://schemas.openxmlformats.org/officeDocument/2006/relationships/hyperlink" Target="https://tabs.ultimate-guitar.com/tab/neil-young/rockin-in-the-free-world-official-2518044" TargetMode="External"/><Relationship Id="rId8" Type="http://schemas.openxmlformats.org/officeDocument/2006/relationships/hyperlink" Target="https://tabs.ultimate-guitar.com/tab/james/laid-official-2685951" TargetMode="External"/><Relationship Id="rId51" Type="http://schemas.openxmlformats.org/officeDocument/2006/relationships/hyperlink" Target="https://tabs.ultimate-guitar.com/tab/the-beatles/come-together-official-1950291" TargetMode="External"/><Relationship Id="rId3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r-e-m-/its-the-end-of-the-world-as-we-know-it-and-i-feel-fine-official-2789386" TargetMode="External"/><Relationship Id="rId17" Type="http://schemas.openxmlformats.org/officeDocument/2006/relationships/hyperlink" Target="https://www.kingsofewing.com/docs/music/from%20the%20start%20official.pdf" TargetMode="External"/><Relationship Id="rId25" Type="http://schemas.openxmlformats.org/officeDocument/2006/relationships/hyperlink" Target="https://www.kingsofewing.com/docs/music/fortunate%20son.pdf" TargetMode="External"/><Relationship Id="rId33" Type="http://schemas.openxmlformats.org/officeDocument/2006/relationships/hyperlink" Target="https://www.kingsofewing.com/docs/music/the_seeker_official.pdf" TargetMode="External"/><Relationship Id="rId38" Type="http://schemas.openxmlformats.org/officeDocument/2006/relationships/hyperlink" Target="https://tabs.ultimate-guitar.com/tab/chappell-roan/pink-pony-club-official-5236500" TargetMode="External"/><Relationship Id="rId46" Type="http://schemas.openxmlformats.org/officeDocument/2006/relationships/hyperlink" Target="https://www.kingsofewing.com/docs/music/heroes.pdf" TargetMode="External"/><Relationship Id="rId59" Type="http://schemas.openxmlformats.org/officeDocument/2006/relationships/hyperlink" Target="https://www.kingsofewing.com/docs/music/voodoo_child.pdf" TargetMode="External"/><Relationship Id="rId20" Type="http://schemas.openxmlformats.org/officeDocument/2006/relationships/hyperlink" Target="https://tabs.ultimate-guitar.com/tab/leon-bridges/thats-what-i-love-chords-5492289" TargetMode="External"/><Relationship Id="rId41" Type="http://schemas.openxmlformats.org/officeDocument/2006/relationships/hyperlink" Target="https://www.kingsofewing.com/docs/music/kings%20of%20ewing.pdf" TargetMode="External"/><Relationship Id="rId54" Type="http://schemas.openxmlformats.org/officeDocument/2006/relationships/hyperlink" Target="https://tabs.ultimate-guitar.com/tab/the-cars/just-what-i-needed-official-2212159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neil-young/ohio-official-2548995" TargetMode="External"/><Relationship Id="rId15" Type="http://schemas.openxmlformats.org/officeDocument/2006/relationships/hyperlink" Target="https://www.kingsofewing.com/docs/music/head%20over%20heels%20official.pdf" TargetMode="External"/><Relationship Id="rId23" Type="http://schemas.openxmlformats.org/officeDocument/2006/relationships/hyperlink" Target="https://www.kingsofewing.com/docs/music/smooth_operator.pdf" TargetMode="External"/><Relationship Id="rId28" Type="http://schemas.openxmlformats.org/officeDocument/2006/relationships/hyperlink" Target="https://tabs.ultimate-guitar.com/tab/muse/starlight-official-1940709" TargetMode="External"/><Relationship Id="rId36" Type="http://schemas.openxmlformats.org/officeDocument/2006/relationships/hyperlink" Target="https://tabs.ultimate-guitar.com/tab/cream/crossroads-official-1983079" TargetMode="External"/><Relationship Id="rId49" Type="http://schemas.openxmlformats.org/officeDocument/2006/relationships/hyperlink" Target="https://tabs.ultimate-guitar.com/tab/the-kinks/dedicated-follower-of-fashion-official-4884518" TargetMode="External"/><Relationship Id="rId57" Type="http://schemas.openxmlformats.org/officeDocument/2006/relationships/hyperlink" Target="https://www.kingsofewing.com/docs/music/guess_again.pdf" TargetMode="External"/><Relationship Id="rId10" Type="http://schemas.openxmlformats.org/officeDocument/2006/relationships/hyperlink" Target="https://tabs.ultimate-guitar.com/tab/oasis/little-by-little-official-2497398" TargetMode="External"/><Relationship Id="rId31" Type="http://schemas.openxmlformats.org/officeDocument/2006/relationships/hyperlink" Target="https://www.kingsofewing.com/docs/music/whipping_post.pdf" TargetMode="External"/><Relationship Id="rId44" Type="http://schemas.openxmlformats.org/officeDocument/2006/relationships/hyperlink" Target="https://www.kingsofewing.com/docs/music/midnight%20rider.pdf" TargetMode="External"/><Relationship Id="rId52" Type="http://schemas.openxmlformats.org/officeDocument/2006/relationships/hyperlink" Target="https://www.kingsofewing.com/docs/music/message_in_a_bottle.pdf" TargetMode="External"/><Relationship Id="rId60" Type="http://schemas.openxmlformats.org/officeDocument/2006/relationships/hyperlink" Target="https://tabs.ultimate-guitar.com/tab/jimi-hendrix/voodoo-child-slight-return-official-2420407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de/smooth-operator-official-1979485" TargetMode="External"/><Relationship Id="rId13" Type="http://schemas.openxmlformats.org/officeDocument/2006/relationships/hyperlink" Target="https://www.kingsofewing.com/docs/music/the_seeker_official.pdf" TargetMode="External"/><Relationship Id="rId18" Type="http://schemas.openxmlformats.org/officeDocument/2006/relationships/hyperlink" Target="https://tabs.ultimate-guitar.com/tab/santana/no-one-to-depend-on-chords-3337193" TargetMode="External"/><Relationship Id="rId26" Type="http://schemas.openxmlformats.org/officeDocument/2006/relationships/hyperlink" Target="https://tabs.ultimate-guitar.com/tab/the-allman-brothers-band/whipping-post-official-2639163" TargetMode="External"/><Relationship Id="rId3" Type="http://schemas.openxmlformats.org/officeDocument/2006/relationships/hyperlink" Target="https://www.kingsofewing.com/docs/music/dont%20let%20me%20down.pdf" TargetMode="External"/><Relationship Id="rId21" Type="http://schemas.openxmlformats.org/officeDocument/2006/relationships/hyperlink" Target="https://www.kingsofewing.com/docs/music/end_of_the_world.pdf" TargetMode="External"/><Relationship Id="rId7" Type="http://schemas.openxmlformats.org/officeDocument/2006/relationships/hyperlink" Target="https://www.kingsofewing.com/docs/music/smooth_operator.pdf" TargetMode="External"/><Relationship Id="rId12" Type="http://schemas.openxmlformats.org/officeDocument/2006/relationships/hyperlink" Target="https://tabs.ultimate-guitar.com/tab/chappell-roan/pink-pony-club-official-5236500" TargetMode="External"/><Relationship Id="rId17" Type="http://schemas.openxmlformats.org/officeDocument/2006/relationships/hyperlink" Target="https://www.kingsofewing.com/docs/music/no%20one%20to%20depend%20on.pdf" TargetMode="External"/><Relationship Id="rId25" Type="http://schemas.openxmlformats.org/officeDocument/2006/relationships/hyperlink" Target="https://www.kingsofewing.com/docs/music/whipping_post.pdf" TargetMode="External"/><Relationship Id="rId2" Type="http://schemas.openxmlformats.org/officeDocument/2006/relationships/hyperlink" Target="https://tabs.ultimate-guitar.com/tab/the-police/message-in-a-bottle-official-1957169" TargetMode="External"/><Relationship Id="rId16" Type="http://schemas.openxmlformats.org/officeDocument/2006/relationships/hyperlink" Target="https://tabs.ultimate-guitar.com/tab/jeff-tweedy/guess-again-chords-3344825" TargetMode="External"/><Relationship Id="rId20" Type="http://schemas.openxmlformats.org/officeDocument/2006/relationships/hyperlink" Target="https://tabs.ultimate-guitar.com/tab/neil-young/walk-on-chords-88633" TargetMode="External"/><Relationship Id="rId1" Type="http://schemas.openxmlformats.org/officeDocument/2006/relationships/hyperlink" Target="https://www.kingsofewing.com/docs/music/message_in_a_bottle.pdf" TargetMode="External"/><Relationship Id="rId6" Type="http://schemas.openxmlformats.org/officeDocument/2006/relationships/hyperlink" Target="https://tabs.ultimate-guitar.com/tab/the-beatles/come-together-official-1950291" TargetMode="External"/><Relationship Id="rId11" Type="http://schemas.openxmlformats.org/officeDocument/2006/relationships/hyperlink" Target="https://www.kingsofewing.com/docs/music/pink_pony_club.pdf" TargetMode="External"/><Relationship Id="rId24" Type="http://schemas.openxmlformats.org/officeDocument/2006/relationships/hyperlink" Target="https://tabs.ultimate-guitar.com/tab/the-allman-brothers-band/midnight-rider-official-2611482" TargetMode="External"/><Relationship Id="rId5" Type="http://schemas.openxmlformats.org/officeDocument/2006/relationships/hyperlink" Target="https://www.kingsofewing.com/docs/music/come%20together%20official.pdf" TargetMode="External"/><Relationship Id="rId15" Type="http://schemas.openxmlformats.org/officeDocument/2006/relationships/hyperlink" Target="https://www.kingsofewing.com/docs/music/guess_again.pdf" TargetMode="External"/><Relationship Id="rId23" Type="http://schemas.openxmlformats.org/officeDocument/2006/relationships/hyperlink" Target="https://www.kingsofewing.com/docs/music/midnight%20rider.pdf" TargetMode="External"/><Relationship Id="rId10" Type="http://schemas.openxmlformats.org/officeDocument/2006/relationships/hyperlink" Target="https://tabs.ultimate-guitar.com/tab/crosby-stills-nash-young/teach-your-children-official-2815919" TargetMode="External"/><Relationship Id="rId19" Type="http://schemas.openxmlformats.org/officeDocument/2006/relationships/hyperlink" Target="https://www.kingsofewing.com/docs/music/walk_on_chords.pdf" TargetMode="External"/><Relationship Id="rId4" Type="http://schemas.openxmlformats.org/officeDocument/2006/relationships/hyperlink" Target="https://tabs.ultimate-guitar.com/tab/the-beatles/dont-let-me-down-official-1962071" TargetMode="External"/><Relationship Id="rId9" Type="http://schemas.openxmlformats.org/officeDocument/2006/relationships/hyperlink" Target="https://www.kingsofewing.com/docs/music/Teach%20Your%20Children.pdf" TargetMode="External"/><Relationship Id="rId14" Type="http://schemas.openxmlformats.org/officeDocument/2006/relationships/hyperlink" Target="https://tabs.ultimate-guitar.com/tab/the-who/the-seeker-official-2938316" TargetMode="External"/><Relationship Id="rId22" Type="http://schemas.openxmlformats.org/officeDocument/2006/relationships/hyperlink" Target="https://tabs.ultimate-guitar.com/tab/r-e-m-/its-the-end-of-the-world-as-we-know-it-and-i-feel-fine-official-2789386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de/smooth-operator-official-1979485" TargetMode="External"/><Relationship Id="rId13" Type="http://schemas.openxmlformats.org/officeDocument/2006/relationships/hyperlink" Target="https://www.kingsofewing.com/docs/music/fortunate%20son.pdf" TargetMode="External"/><Relationship Id="rId18" Type="http://schemas.openxmlformats.org/officeDocument/2006/relationships/hyperlink" Target="https://www.kingsofewing.com/docs/music/riders%20on%20the%20storm.pdf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tabs.ultimate-guitar.com/tab/neil-young/walk-on-chords-88633" TargetMode="External"/><Relationship Id="rId7" Type="http://schemas.openxmlformats.org/officeDocument/2006/relationships/hyperlink" Target="https://www.kingsofewing.com/docs/music/smooth_operator.pdf" TargetMode="External"/><Relationship Id="rId12" Type="http://schemas.openxmlformats.org/officeDocument/2006/relationships/hyperlink" Target="https://tabs.ultimate-guitar.com/tab/tom-petty/i-wont-back-down-official-2175865" TargetMode="External"/><Relationship Id="rId17" Type="http://schemas.openxmlformats.org/officeDocument/2006/relationships/hyperlink" Target="https://tabs.ultimate-guitar.com/tab/the-cars/just-what-i-needed-official-2212159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santana/no-one-to-depend-on-chords-3337193" TargetMode="External"/><Relationship Id="rId20" Type="http://schemas.openxmlformats.org/officeDocument/2006/relationships/hyperlink" Target="https://www.kingsofewing.com/docs/music/walk_on_chords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won%27t%20back%20down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no%20one%20to%20depend%20on.pdf" TargetMode="External"/><Relationship Id="rId23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tabs.ultimate-guitar.com/tab/the-doors/riders-on-the-storm-official-2212149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creedence-clearwater-revival/fortunate-son-official-1945887" TargetMode="External"/><Relationship Id="rId22" Type="http://schemas.openxmlformats.org/officeDocument/2006/relationships/hyperlink" Target="https://www.kingsofewing.com/docs/music/whipping_post.pdf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ohio.pdf" TargetMode="External"/><Relationship Id="rId18" Type="http://schemas.openxmlformats.org/officeDocument/2006/relationships/hyperlink" Target="https://tabs.ultimate-guitar.com/tab/kacey-musgraves/follow-your-arrow-official-4171309" TargetMode="External"/><Relationship Id="rId26" Type="http://schemas.openxmlformats.org/officeDocument/2006/relationships/hyperlink" Target="https://tabs.ultimate-guitar.com/tab/creedence-clearwater-revival/fortunate-son-official-1945887" TargetMode="External"/><Relationship Id="rId39" Type="http://schemas.openxmlformats.org/officeDocument/2006/relationships/hyperlink" Target="https://tabs.ultimate-guitar.com/tab/the-doors/riders-on-the-storm-official-2212149" TargetMode="External"/><Relationship Id="rId21" Type="http://schemas.openxmlformats.org/officeDocument/2006/relationships/hyperlink" Target="https://www.kingsofewing.com/docs/music/midnight%20rider.pdf" TargetMode="External"/><Relationship Id="rId34" Type="http://schemas.openxmlformats.org/officeDocument/2006/relationships/hyperlink" Target="https://www.kingsofewing.com/docs/music/dedicated%20follower%20of%20fashion.pdf" TargetMode="External"/><Relationship Id="rId42" Type="http://schemas.openxmlformats.org/officeDocument/2006/relationships/hyperlink" Target="https://tabs.ultimate-guitar.com/tab/pearl-jam/black-official-2451097" TargetMode="External"/><Relationship Id="rId47" Type="http://schemas.openxmlformats.org/officeDocument/2006/relationships/hyperlink" Target="https://www.kingsofewing.com/docs/music/heroes.pdf" TargetMode="External"/><Relationship Id="rId50" Type="http://schemas.openxmlformats.org/officeDocument/2006/relationships/hyperlink" Target="https://tabs.ultimate-guitar.com/tab/the-allman-brothers-band/whipping-post-official-2639163" TargetMode="External"/><Relationship Id="rId7" Type="http://schemas.openxmlformats.org/officeDocument/2006/relationships/hyperlink" Target="https://www.kingsofewing.com/docs/music/down%20by%20the%20river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jeff-tweedy/guess-again-chords-3344825" TargetMode="External"/><Relationship Id="rId29" Type="http://schemas.openxmlformats.org/officeDocument/2006/relationships/hyperlink" Target="https://www.kingsofewing.com/docs/music/found%20out%20about%20you.pdf" TargetMode="External"/><Relationship Id="rId11" Type="http://schemas.openxmlformats.org/officeDocument/2006/relationships/hyperlink" Target="https://www.kingsofewing.com/docs/music/thats_what_i_love_chords.pdf" TargetMode="External"/><Relationship Id="rId24" Type="http://schemas.openxmlformats.org/officeDocument/2006/relationships/hyperlink" Target="https://tabs.ultimate-guitar.com/tab/the-who/the-seeker-official-2938316" TargetMode="External"/><Relationship Id="rId32" Type="http://schemas.openxmlformats.org/officeDocument/2006/relationships/hyperlink" Target="https://www.kingsofewing.com/docs/music/laid.pdf" TargetMode="External"/><Relationship Id="rId37" Type="http://schemas.openxmlformats.org/officeDocument/2006/relationships/hyperlink" Target="https://tabs.ultimate-guitar.com/tab/the-dandy-warhols/bohemian-like-you-official-2829043" TargetMode="External"/><Relationship Id="rId40" Type="http://schemas.openxmlformats.org/officeDocument/2006/relationships/hyperlink" Target="https://www.kingsofewing.com/docs/music/kings%20of%20ewing.pdf" TargetMode="External"/><Relationship Id="rId45" Type="http://schemas.openxmlformats.org/officeDocument/2006/relationships/hyperlink" Target="https://www.kingsofewing.com/docs/music/walk_on_chords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guess_again.pdf" TargetMode="External"/><Relationship Id="rId23" Type="http://schemas.openxmlformats.org/officeDocument/2006/relationships/hyperlink" Target="https://www.kingsofewing.com/docs/music/the_seeker_official.pdf" TargetMode="External"/><Relationship Id="rId28" Type="http://schemas.openxmlformats.org/officeDocument/2006/relationships/hyperlink" Target="https://tabs.ultimate-guitar.com/tab/santana/no-one-to-depend-on-chords-3337193" TargetMode="External"/><Relationship Id="rId36" Type="http://schemas.openxmlformats.org/officeDocument/2006/relationships/hyperlink" Target="https://www.kingsofewing.com/docs/music/Bohemian%20Like%20You.pdf" TargetMode="External"/><Relationship Id="rId49" Type="http://schemas.openxmlformats.org/officeDocument/2006/relationships/hyperlink" Target="https://www.kingsofewing.com/docs/music/whipping_post.pdf" TargetMode="External"/><Relationship Id="rId10" Type="http://schemas.openxmlformats.org/officeDocument/2006/relationships/hyperlink" Target="https://tabs.ultimate-guitar.com/tab/sade/smooth-operator-official-1979485" TargetMode="External"/><Relationship Id="rId19" Type="http://schemas.openxmlformats.org/officeDocument/2006/relationships/hyperlink" Target="https://www.kingsofewing.com/docs/music/won%27t%20back%20down.pdf" TargetMode="External"/><Relationship Id="rId31" Type="http://schemas.openxmlformats.org/officeDocument/2006/relationships/hyperlink" Target="https://tabs.ultimate-guitar.com/tab/the-cars/just-what-i-needed-official-2212159" TargetMode="External"/><Relationship Id="rId44" Type="http://schemas.openxmlformats.org/officeDocument/2006/relationships/hyperlink" Target="https://tabs.ultimate-guitar.com/tab/the-beatles/come-together-official-1950291" TargetMode="External"/><Relationship Id="rId52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smooth_operator.pdf" TargetMode="External"/><Relationship Id="rId14" Type="http://schemas.openxmlformats.org/officeDocument/2006/relationships/hyperlink" Target="https://tabs.ultimate-guitar.com/tab/neil-young/ohio-official-2548995" TargetMode="External"/><Relationship Id="rId22" Type="http://schemas.openxmlformats.org/officeDocument/2006/relationships/hyperlink" Target="https://tabs.ultimate-guitar.com/tab/the-allman-brothers-band/midnight-rider-official-2611482" TargetMode="External"/><Relationship Id="rId27" Type="http://schemas.openxmlformats.org/officeDocument/2006/relationships/hyperlink" Target="https://www.kingsofewing.com/docs/music/no%20one%20to%20depend%20on.pdf" TargetMode="External"/><Relationship Id="rId30" Type="http://schemas.openxmlformats.org/officeDocument/2006/relationships/hyperlink" Target="https://tabs.ultimate-guitar.com/tab/gin-blossoms/found-out-about-you-official-3430250" TargetMode="External"/><Relationship Id="rId35" Type="http://schemas.openxmlformats.org/officeDocument/2006/relationships/hyperlink" Target="https://tabs.ultimate-guitar.com/tab/the-kinks/dedicated-follower-of-fashion-official-4884518" TargetMode="External"/><Relationship Id="rId43" Type="http://schemas.openxmlformats.org/officeDocument/2006/relationships/hyperlink" Target="https://www.kingsofewing.com/docs/music/come%20together%20official.pdf" TargetMode="External"/><Relationship Id="rId48" Type="http://schemas.openxmlformats.org/officeDocument/2006/relationships/hyperlink" Target="https://tabs.ultimate-guitar.com/tab/david-bowie/heroes-official-2457982" TargetMode="External"/><Relationship Id="rId8" Type="http://schemas.openxmlformats.org/officeDocument/2006/relationships/hyperlink" Target="https://tabs.ultimate-guitar.com/tab/neil-young/down-by-the-river-official-2701248" TargetMode="External"/><Relationship Id="rId51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leon-bridges/thats-what-i-love-chords-5492289" TargetMode="External"/><Relationship Id="rId17" Type="http://schemas.openxmlformats.org/officeDocument/2006/relationships/hyperlink" Target="https://www.kingsofewing.com/docs/music/follow_your_arrow_official.pdf" TargetMode="External"/><Relationship Id="rId25" Type="http://schemas.openxmlformats.org/officeDocument/2006/relationships/hyperlink" Target="https://www.kingsofewing.com/docs/music/fortunate%20son.pdf" TargetMode="External"/><Relationship Id="rId33" Type="http://schemas.openxmlformats.org/officeDocument/2006/relationships/hyperlink" Target="https://tabs.ultimate-guitar.com/tab/james/laid-official-2685951" TargetMode="External"/><Relationship Id="rId38" Type="http://schemas.openxmlformats.org/officeDocument/2006/relationships/hyperlink" Target="https://www.kingsofewing.com/docs/music/riders%20on%20the%20storm.pdf" TargetMode="External"/><Relationship Id="rId46" Type="http://schemas.openxmlformats.org/officeDocument/2006/relationships/hyperlink" Target="https://tabs.ultimate-guitar.com/tab/neil-young/walk-on-chords-88633" TargetMode="External"/><Relationship Id="rId20" Type="http://schemas.openxmlformats.org/officeDocument/2006/relationships/hyperlink" Target="https://tabs.ultimate-guitar.com/tab/tom-petty/i-wont-back-down-official-2175865" TargetMode="External"/><Relationship Id="rId41" Type="http://schemas.openxmlformats.org/officeDocument/2006/relationships/hyperlink" Target="https://www.kingsofewing.com/docs/music/black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follow_your_arrow_official.pdf" TargetMode="External"/><Relationship Id="rId18" Type="http://schemas.openxmlformats.org/officeDocument/2006/relationships/hyperlink" Target="https://tabs.ultimate-guitar.com/tab/jeff-tweedy/guess-again-chords-3344825" TargetMode="External"/><Relationship Id="rId26" Type="http://schemas.openxmlformats.org/officeDocument/2006/relationships/hyperlink" Target="https://www.kingsofewing.com/docs/music/laid.pdf" TargetMode="External"/><Relationship Id="rId21" Type="http://schemas.openxmlformats.org/officeDocument/2006/relationships/hyperlink" Target="https://www.kingsofewing.com/docs/music/fortunate%20son.pdf" TargetMode="External"/><Relationship Id="rId34" Type="http://schemas.openxmlformats.org/officeDocument/2006/relationships/hyperlink" Target="https://tabs.ultimate-guitar.com/tab/david-bowie/heroes-official-2457982" TargetMode="External"/><Relationship Id="rId7" Type="http://schemas.openxmlformats.org/officeDocument/2006/relationships/hyperlink" Target="https://www.kingsofewing.com/docs/music/down%20by%20the%20river.pdf" TargetMode="External"/><Relationship Id="rId12" Type="http://schemas.openxmlformats.org/officeDocument/2006/relationships/hyperlink" Target="https://tabs.ultimate-guitar.com/tab/leon-bridges/thats-what-i-love-chords-5492289" TargetMode="External"/><Relationship Id="rId17" Type="http://schemas.openxmlformats.org/officeDocument/2006/relationships/hyperlink" Target="https://www.kingsofewing.com/docs/music/guess_again.pdf" TargetMode="External"/><Relationship Id="rId25" Type="http://schemas.openxmlformats.org/officeDocument/2006/relationships/hyperlink" Target="https://tabs.ultimate-guitar.com/tab/the-cars/just-what-i-needed-official-2212159" TargetMode="External"/><Relationship Id="rId33" Type="http://schemas.openxmlformats.org/officeDocument/2006/relationships/hyperlink" Target="https://www.kingsofewing.com/docs/music/heroes.pdf" TargetMode="External"/><Relationship Id="rId38" Type="http://schemas.openxmlformats.org/officeDocument/2006/relationships/hyperlink" Target="https://tabs.ultimate-guitar.com/tab/neil-young/rockin-in-the-free-world-official-2518044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allman-brothers-band/midnight-rider-official-2611482" TargetMode="External"/><Relationship Id="rId20" Type="http://schemas.openxmlformats.org/officeDocument/2006/relationships/hyperlink" Target="https://tabs.ultimate-guitar.com/tab/the-who/the-seeker-official-2938316" TargetMode="External"/><Relationship Id="rId29" Type="http://schemas.openxmlformats.org/officeDocument/2006/relationships/hyperlink" Target="https://tabs.ultimate-guitar.com/tab/the-kinks/dedicated-follower-of-fashion-official-4884518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thats_what_i_love_chords.pdf" TargetMode="External"/><Relationship Id="rId24" Type="http://schemas.openxmlformats.org/officeDocument/2006/relationships/hyperlink" Target="https://tabs.ultimate-guitar.com/tab/santana/no-one-to-depend-on-chords-3337193" TargetMode="External"/><Relationship Id="rId32" Type="http://schemas.openxmlformats.org/officeDocument/2006/relationships/hyperlink" Target="https://www.kingsofewing.com/docs/music/kings%20of%20ewing.pdf" TargetMode="External"/><Relationship Id="rId37" Type="http://schemas.openxmlformats.org/officeDocument/2006/relationships/hyperlink" Target="https://www.kingsofewing.com/docs/music/rockin%20in%20the%20free%20world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midnight%20rider.pdf" TargetMode="External"/><Relationship Id="rId23" Type="http://schemas.openxmlformats.org/officeDocument/2006/relationships/hyperlink" Target="https://www.kingsofewing.com/docs/music/no%20one%20to%20depend%20on.pdf" TargetMode="External"/><Relationship Id="rId28" Type="http://schemas.openxmlformats.org/officeDocument/2006/relationships/hyperlink" Target="https://www.kingsofewing.com/docs/music/dedicated%20follower%20of%20fashion.pdf" TargetMode="External"/><Relationship Id="rId36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sade/smooth-operator-official-1979485" TargetMode="External"/><Relationship Id="rId19" Type="http://schemas.openxmlformats.org/officeDocument/2006/relationships/hyperlink" Target="https://www.kingsofewing.com/docs/music/the_seeker_official.pdf" TargetMode="External"/><Relationship Id="rId31" Type="http://schemas.openxmlformats.org/officeDocument/2006/relationships/hyperlink" Target="https://tabs.ultimate-guitar.com/tab/the-doors/riders-on-the-storm-official-2212149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smooth_operator.pdf" TargetMode="External"/><Relationship Id="rId14" Type="http://schemas.openxmlformats.org/officeDocument/2006/relationships/hyperlink" Target="https://tabs.ultimate-guitar.com/tab/kacey-musgraves/follow-your-arrow-official-4171309" TargetMode="External"/><Relationship Id="rId22" Type="http://schemas.openxmlformats.org/officeDocument/2006/relationships/hyperlink" Target="https://tabs.ultimate-guitar.com/tab/creedence-clearwater-revival/fortunate-son-official-1945887" TargetMode="External"/><Relationship Id="rId27" Type="http://schemas.openxmlformats.org/officeDocument/2006/relationships/hyperlink" Target="https://tabs.ultimate-guitar.com/tab/james/laid-official-2685951" TargetMode="External"/><Relationship Id="rId30" Type="http://schemas.openxmlformats.org/officeDocument/2006/relationships/hyperlink" Target="https://www.kingsofewing.com/docs/music/riders%20on%20the%20storm.pdf" TargetMode="External"/><Relationship Id="rId35" Type="http://schemas.openxmlformats.org/officeDocument/2006/relationships/hyperlink" Target="https://www.kingsofewing.com/docs/music/whipping_post.pdf" TargetMode="External"/><Relationship Id="rId8" Type="http://schemas.openxmlformats.org/officeDocument/2006/relationships/hyperlink" Target="https://tabs.ultimate-guitar.com/tab/neil-young/down-by-the-river-official-2701248" TargetMode="External"/><Relationship Id="rId3" Type="http://schemas.openxmlformats.org/officeDocument/2006/relationships/hyperlink" Target="https://www.kingsofewing.com/docs/music/just%20like%20heaven.pdf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ntana/no-one-to-depend-on-chords-3337193" TargetMode="External"/><Relationship Id="rId13" Type="http://schemas.openxmlformats.org/officeDocument/2006/relationships/hyperlink" Target="https://www.kingsofewing.com/docs/music/fortunate%20son.pdf" TargetMode="External"/><Relationship Id="rId18" Type="http://schemas.openxmlformats.org/officeDocument/2006/relationships/hyperlink" Target="https://www.kingsofewing.com/docs/music/midnight%20rider.pdf" TargetMode="External"/><Relationship Id="rId26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tabs.ultimate-guitar.com/tab/the-who/the-seeker-official-2938316" TargetMode="External"/><Relationship Id="rId7" Type="http://schemas.openxmlformats.org/officeDocument/2006/relationships/hyperlink" Target="https://www.kingsofewing.com/docs/music/no%20one%20to%20depend%20on.pdf" TargetMode="External"/><Relationship Id="rId12" Type="http://schemas.openxmlformats.org/officeDocument/2006/relationships/hyperlink" Target="https://tabs.ultimate-guitar.com/tab/sade/smooth-operator-official-1979485" TargetMode="External"/><Relationship Id="rId17" Type="http://schemas.openxmlformats.org/officeDocument/2006/relationships/hyperlink" Target="https://tabs.ultimate-guitar.com/tab/the-beatles/dont-let-me-down-official-1962071" TargetMode="External"/><Relationship Id="rId25" Type="http://schemas.openxmlformats.org/officeDocument/2006/relationships/hyperlink" Target="https://tabs.ultimate-guitar.com/tab/the-allman-brothers-band/whipping-post-official-2639163" TargetMode="External"/><Relationship Id="rId2" Type="http://schemas.openxmlformats.org/officeDocument/2006/relationships/hyperlink" Target="https://tabs.ultimate-guitar.com/tab/neil-young/walk-on-chords-88633" TargetMode="External"/><Relationship Id="rId16" Type="http://schemas.openxmlformats.org/officeDocument/2006/relationships/hyperlink" Target="https://www.kingsofewing.com/docs/music/dont%20let%20me%20down.pdf" TargetMode="External"/><Relationship Id="rId20" Type="http://schemas.openxmlformats.org/officeDocument/2006/relationships/hyperlink" Target="https://www.kingsofewing.com/docs/music/the_seeker_official.pdf" TargetMode="External"/><Relationship Id="rId1" Type="http://schemas.openxmlformats.org/officeDocument/2006/relationships/hyperlink" Target="https://www.kingsofewing.com/docs/music/walk_on_chords.pdf" TargetMode="External"/><Relationship Id="rId6" Type="http://schemas.openxmlformats.org/officeDocument/2006/relationships/hyperlink" Target="https://tabs.ultimate-guitar.com/tab/the-cure/just-like-heaven-official-1961213" TargetMode="External"/><Relationship Id="rId11" Type="http://schemas.openxmlformats.org/officeDocument/2006/relationships/hyperlink" Target="https://www.kingsofewing.com/docs/music/smooth_operator.pdf" TargetMode="External"/><Relationship Id="rId24" Type="http://schemas.openxmlformats.org/officeDocument/2006/relationships/hyperlink" Target="https://www.kingsofewing.com/docs/music/whipping_post.pdf" TargetMode="External"/><Relationship Id="rId5" Type="http://schemas.openxmlformats.org/officeDocument/2006/relationships/hyperlink" Target="https://www.kingsofewing.com/docs/music/just%20like%20heaven.pdf" TargetMode="External"/><Relationship Id="rId15" Type="http://schemas.openxmlformats.org/officeDocument/2006/relationships/hyperlink" Target="https://tabs.ultimate-guitar.com/tab/the-cars/just-what-i-needed-official-2212159" TargetMode="External"/><Relationship Id="rId23" Type="http://schemas.openxmlformats.org/officeDocument/2006/relationships/hyperlink" Target="https://tabs.ultimate-guitar.com/tab/the-dandy-warhols/bohemian-like-you-official-2829043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19" Type="http://schemas.openxmlformats.org/officeDocument/2006/relationships/hyperlink" Target="https://tabs.ultimate-guitar.com/tab/the-allman-brothers-band/midnight-rider-official-2611482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dedicated%20follower%20of%20fashion.pdf" TargetMode="External"/><Relationship Id="rId14" Type="http://schemas.openxmlformats.org/officeDocument/2006/relationships/hyperlink" Target="https://tabs.ultimate-guitar.com/tab/creedence-clearwater-revival/fortunate-son-official-1945887" TargetMode="External"/><Relationship Id="rId22" Type="http://schemas.openxmlformats.org/officeDocument/2006/relationships/hyperlink" Target="https://www.kingsofewing.com/docs/music/Bohemian%20Like%20You.pdf" TargetMode="External"/><Relationship Id="rId27" Type="http://schemas.openxmlformats.org/officeDocument/2006/relationships/hyperlink" Target="https://tabs.ultimate-guitar.com/tab/neil-young/rockin-in-the-free-world-official-2518044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ntana/no-one-to-depend-on-chords-3337193" TargetMode="External"/><Relationship Id="rId13" Type="http://schemas.openxmlformats.org/officeDocument/2006/relationships/hyperlink" Target="https://www.kingsofewing.com/docs/music/kings%20of%20ewing.pdf" TargetMode="External"/><Relationship Id="rId18" Type="http://schemas.openxmlformats.org/officeDocument/2006/relationships/hyperlink" Target="https://tabs.ultimate-guitar.com/tab/the-kinks/dedicated-follower-of-fashion-official-4884518" TargetMode="External"/><Relationship Id="rId3" Type="http://schemas.openxmlformats.org/officeDocument/2006/relationships/hyperlink" Target="https://www.kingsofewing.com/docs/music/just%20like%20heaven.pdf" TargetMode="External"/><Relationship Id="rId7" Type="http://schemas.openxmlformats.org/officeDocument/2006/relationships/hyperlink" Target="https://www.kingsofewing.com/docs/music/no%20one%20to%20depend%20on.pdf" TargetMode="External"/><Relationship Id="rId12" Type="http://schemas.openxmlformats.org/officeDocument/2006/relationships/hyperlink" Target="https://tabs.ultimate-guitar.com/tab/chappell-roan/pink-pony-club-official-5236500" TargetMode="External"/><Relationship Id="rId17" Type="http://schemas.openxmlformats.org/officeDocument/2006/relationships/hyperlink" Target="https://www.kingsofewing.com/docs/music/dedicated%20follower%20of%20fashion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cars/just-what-i-needed-official-2212159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james/laid-official-2685951" TargetMode="External"/><Relationship Id="rId11" Type="http://schemas.openxmlformats.org/officeDocument/2006/relationships/hyperlink" Target="https://www.kingsofewing.com/docs/music/pink_pony_club.pdf" TargetMode="External"/><Relationship Id="rId5" Type="http://schemas.openxmlformats.org/officeDocument/2006/relationships/hyperlink" Target="https://www.kingsofewing.com/docs/music/laid.pdf" TargetMode="External"/><Relationship Id="rId15" Type="http://schemas.openxmlformats.org/officeDocument/2006/relationships/hyperlink" Target="https://tabs.ultimate-guitar.com/tab/the-allman-brothers-band/midnight-rider-official-2611482" TargetMode="External"/><Relationship Id="rId10" Type="http://schemas.openxmlformats.org/officeDocument/2006/relationships/hyperlink" Target="https://tabs.ultimate-guitar.com/tab/neil-young/down-by-the-river-official-2701248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down%20by%20the%20river.pdf" TargetMode="External"/><Relationship Id="rId14" Type="http://schemas.openxmlformats.org/officeDocument/2006/relationships/hyperlink" Target="https://www.kingsofewing.com/docs/music/midnight%20rider.pdf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the-beatles/octopuss-garden-official-1957271" TargetMode="External"/><Relationship Id="rId26" Type="http://schemas.openxmlformats.org/officeDocument/2006/relationships/hyperlink" Target="https://www.kingsofewing.com/docs/music/sympathy%20for%20the%20devil.pdf" TargetMode="External"/><Relationship Id="rId39" Type="http://schemas.openxmlformats.org/officeDocument/2006/relationships/hyperlink" Target="https://www.kingsofewing.com/docs/music/dedicated%20follower%20of%20fashion.pdf" TargetMode="External"/><Relationship Id="rId21" Type="http://schemas.openxmlformats.org/officeDocument/2006/relationships/hyperlink" Target="https://www.kingsofewing.com/docs/music/kings%20of%20ewing.pdf" TargetMode="External"/><Relationship Id="rId34" Type="http://schemas.openxmlformats.org/officeDocument/2006/relationships/hyperlink" Target="https://tabs.ultimate-guitar.com/tab/the-doors/riders-on-the-storm-official-2212149" TargetMode="External"/><Relationship Id="rId42" Type="http://schemas.openxmlformats.org/officeDocument/2006/relationships/hyperlink" Target="https://tabs.ultimate-guitar.com/tab/the-allman-brothers-band/midnight-rider-official-2611482" TargetMode="External"/><Relationship Id="rId47" Type="http://schemas.openxmlformats.org/officeDocument/2006/relationships/hyperlink" Target="https://www.kingsofewing.com/docs/music/heroes.pdf" TargetMode="External"/><Relationship Id="rId50" Type="http://schemas.openxmlformats.org/officeDocument/2006/relationships/hyperlink" Target="https://tabs.ultimate-guitar.com/tab/jimi-hendrix/voodoo-child-slight-return-official-2420407" TargetMode="External"/><Relationship Id="rId7" Type="http://schemas.openxmlformats.org/officeDocument/2006/relationships/hyperlink" Target="https://www.kingsofewing.com/docs/music/found%20out%20about%20you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pearl-jam/black-official-2451097" TargetMode="External"/><Relationship Id="rId29" Type="http://schemas.openxmlformats.org/officeDocument/2006/relationships/hyperlink" Target="https://www.kingsofewing.com/docs/music/ive_got_a_feeling_official.pdf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www.kingsofewing.com/docs/music/whipping_post.pdf" TargetMode="External"/><Relationship Id="rId32" Type="http://schemas.openxmlformats.org/officeDocument/2006/relationships/hyperlink" Target="https://tabs.ultimate-guitar.com/tab/oasis/dont-look-back-in-anger-official-1910905" TargetMode="External"/><Relationship Id="rId37" Type="http://schemas.openxmlformats.org/officeDocument/2006/relationships/hyperlink" Target="https://www.kingsofewing.com/docs/music/seven%20nation%20army.pdf" TargetMode="External"/><Relationship Id="rId40" Type="http://schemas.openxmlformats.org/officeDocument/2006/relationships/hyperlink" Target="https://tabs.ultimate-guitar.com/tab/the-kinks/dedicated-follower-of-fashion-official-4884518" TargetMode="External"/><Relationship Id="rId45" Type="http://schemas.openxmlformats.org/officeDocument/2006/relationships/hyperlink" Target="https://www.kingsofewing.com/docs/music/rockin%20in%20the%20free%20world.pdf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black.pdf" TargetMode="External"/><Relationship Id="rId23" Type="http://schemas.openxmlformats.org/officeDocument/2006/relationships/hyperlink" Target="https://tabs.ultimate-guitar.com/tab/neil-young/ohio-official-2548995" TargetMode="External"/><Relationship Id="rId28" Type="http://schemas.openxmlformats.org/officeDocument/2006/relationships/hyperlink" Target="https://tabs.ultimate-guitar.com/tab/the-cars/just-what-i-needed-official-2212159" TargetMode="External"/><Relationship Id="rId36" Type="http://schemas.openxmlformats.org/officeDocument/2006/relationships/hyperlink" Target="https://tabs.ultimate-guitar.com/tab/chappell-roan/pink-pony-club-official-5236500" TargetMode="External"/><Relationship Id="rId49" Type="http://schemas.openxmlformats.org/officeDocument/2006/relationships/hyperlink" Target="https://www.kingsofewing.com/docs/music/voodoo_child.pdf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down%20by%20the%20river.pdf" TargetMode="External"/><Relationship Id="rId31" Type="http://schemas.openxmlformats.org/officeDocument/2006/relationships/hyperlink" Target="https://www.kingsofewing.com/docs/music/dont_look_back_in_anger_official.pdf" TargetMode="External"/><Relationship Id="rId44" Type="http://schemas.openxmlformats.org/officeDocument/2006/relationships/hyperlink" Target="https://tabs.ultimate-guitar.com/tab/the-cure/just-like-heaven-official-1961213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ohio.pdf" TargetMode="External"/><Relationship Id="rId27" Type="http://schemas.openxmlformats.org/officeDocument/2006/relationships/hyperlink" Target="https://tabs.ultimate-guitar.com/tab/the-rolling-stones/sympathy-for-the-devil-official-2383129" TargetMode="External"/><Relationship Id="rId30" Type="http://schemas.openxmlformats.org/officeDocument/2006/relationships/hyperlink" Target="https://tabs.ultimate-guitar.com/tab/the-beatles/ive-got-a-feeling-official-2631297" TargetMode="External"/><Relationship Id="rId35" Type="http://schemas.openxmlformats.org/officeDocument/2006/relationships/hyperlink" Target="https://www.kingsofewing.com/docs/music/pink_pony_club.pdf" TargetMode="External"/><Relationship Id="rId43" Type="http://schemas.openxmlformats.org/officeDocument/2006/relationships/hyperlink" Target="https://www.kingsofewing.com/docs/music/just%20like%20heaven.pdf" TargetMode="External"/><Relationship Id="rId48" Type="http://schemas.openxmlformats.org/officeDocument/2006/relationships/hyperlink" Target="https://tabs.ultimate-guitar.com/tab/david-bowie/heroes-official-2457982" TargetMode="External"/><Relationship Id="rId8" Type="http://schemas.openxmlformats.org/officeDocument/2006/relationships/hyperlink" Target="https://tabs.ultimate-guitar.com/tab/gin-blossoms/found-out-about-you-official-3430250" TargetMode="External"/><Relationship Id="rId3" Type="http://schemas.openxmlformats.org/officeDocument/2006/relationships/hyperlink" Target="https://www.kingsofewing.com/docs/music/won%27t%20back%20down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octopus_garden.pdf" TargetMode="External"/><Relationship Id="rId25" Type="http://schemas.openxmlformats.org/officeDocument/2006/relationships/hyperlink" Target="https://tabs.ultimate-guitar.com/tab/the-allman-brothers-band/whipping-post-official-2639163" TargetMode="External"/><Relationship Id="rId33" Type="http://schemas.openxmlformats.org/officeDocument/2006/relationships/hyperlink" Target="https://www.kingsofewing.com/docs/music/riders%20on%20the%20storm.pdf" TargetMode="External"/><Relationship Id="rId38" Type="http://schemas.openxmlformats.org/officeDocument/2006/relationships/hyperlink" Target="https://tabs.ultimate-guitar.com/tab/the-white-stripes/seven-nation-army-official-1911521" TargetMode="External"/><Relationship Id="rId46" Type="http://schemas.openxmlformats.org/officeDocument/2006/relationships/hyperlink" Target="https://tabs.ultimate-guitar.com/tab/neil-young/rockin-in-the-free-world-official-2518044" TargetMode="External"/><Relationship Id="rId20" Type="http://schemas.openxmlformats.org/officeDocument/2006/relationships/hyperlink" Target="https://tabs.ultimate-guitar.com/tab/neil-young/down-by-the-river-official-2701248" TargetMode="External"/><Relationship Id="rId41" Type="http://schemas.openxmlformats.org/officeDocument/2006/relationships/hyperlink" Target="https://www.kingsofewing.com/docs/music/midnight%20rider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neil-young/down-by-the-river-official-2701248" TargetMode="External"/><Relationship Id="rId26" Type="http://schemas.openxmlformats.org/officeDocument/2006/relationships/hyperlink" Target="https://tabs.ultimate-guitar.com/tab/the-doors/riders-on-the-storm-official-2212149" TargetMode="External"/><Relationship Id="rId39" Type="http://schemas.openxmlformats.org/officeDocument/2006/relationships/hyperlink" Target="https://www.kingsofewing.com/docs/music/heroes.pdf" TargetMode="External"/><Relationship Id="rId21" Type="http://schemas.openxmlformats.org/officeDocument/2006/relationships/hyperlink" Target="https://tabs.ultimate-guitar.com/tab/neil-young/ohio-official-2548995" TargetMode="External"/><Relationship Id="rId34" Type="http://schemas.openxmlformats.org/officeDocument/2006/relationships/hyperlink" Target="https://tabs.ultimate-guitar.com/tab/the-cure/just-like-heaven-official-1961213" TargetMode="External"/><Relationship Id="rId7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down%20by%20the%20river.pdf" TargetMode="External"/><Relationship Id="rId25" Type="http://schemas.openxmlformats.org/officeDocument/2006/relationships/hyperlink" Target="https://www.kingsofewing.com/docs/music/riders%20on%20the%20storm.pdf" TargetMode="External"/><Relationship Id="rId33" Type="http://schemas.openxmlformats.org/officeDocument/2006/relationships/hyperlink" Target="https://www.kingsofewing.com/docs/music/just%20like%20heaven.pdf" TargetMode="External"/><Relationship Id="rId38" Type="http://schemas.openxmlformats.org/officeDocument/2006/relationships/hyperlink" Target="https://tabs.ultimate-guitar.com/tab/neil-young/rockin-in-the-free-world-official-2518044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pearl-jam/black-official-2451097" TargetMode="External"/><Relationship Id="rId20" Type="http://schemas.openxmlformats.org/officeDocument/2006/relationships/hyperlink" Target="https://www.kingsofewing.com/docs/music/ohio.pdf" TargetMode="External"/><Relationship Id="rId29" Type="http://schemas.openxmlformats.org/officeDocument/2006/relationships/hyperlink" Target="https://www.kingsofewing.com/docs/music/dedicated%20follower%20of%20fashion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tabs.ultimate-guitar.com/tab/the-cars/just-what-i-needed-official-2212159" TargetMode="External"/><Relationship Id="rId32" Type="http://schemas.openxmlformats.org/officeDocument/2006/relationships/hyperlink" Target="https://tabs.ultimate-guitar.com/tab/the-allman-brothers-band/midnight-rider-official-2611482" TargetMode="External"/><Relationship Id="rId37" Type="http://schemas.openxmlformats.org/officeDocument/2006/relationships/hyperlink" Target="https://www.kingsofewing.com/docs/music/rockin%20in%20the%20free%20world.pdf" TargetMode="External"/><Relationship Id="rId40" Type="http://schemas.openxmlformats.org/officeDocument/2006/relationships/hyperlink" Target="https://tabs.ultimate-guitar.com/tab/david-bowie/heroes-official-2457982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black.pdf" TargetMode="External"/><Relationship Id="rId23" Type="http://schemas.openxmlformats.org/officeDocument/2006/relationships/hyperlink" Target="https://tabs.ultimate-guitar.com/tab/the-rolling-stones/sympathy-for-the-devil-official-2383129" TargetMode="External"/><Relationship Id="rId28" Type="http://schemas.openxmlformats.org/officeDocument/2006/relationships/hyperlink" Target="https://tabs.ultimate-guitar.com/tab/the-white-stripes/seven-nation-army-official-1911521" TargetMode="External"/><Relationship Id="rId36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kings%20of%20ewing.pdf" TargetMode="External"/><Relationship Id="rId31" Type="http://schemas.openxmlformats.org/officeDocument/2006/relationships/hyperlink" Target="https://www.kingsofewing.com/docs/music/midnight%20rider.pdf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sympathy%20for%20the%20devil.pdf" TargetMode="External"/><Relationship Id="rId27" Type="http://schemas.openxmlformats.org/officeDocument/2006/relationships/hyperlink" Target="https://www.kingsofewing.com/docs/music/seven%20nation%20army.pdf" TargetMode="External"/><Relationship Id="rId30" Type="http://schemas.openxmlformats.org/officeDocument/2006/relationships/hyperlink" Target="https://tabs.ultimate-guitar.com/tab/the-kinks/dedicated-follower-of-fashion-official-4884518" TargetMode="External"/><Relationship Id="rId35" Type="http://schemas.openxmlformats.org/officeDocument/2006/relationships/hyperlink" Target="https://www.kingsofewing.com/docs/music/whipping_post.pdf" TargetMode="External"/><Relationship Id="rId8" Type="http://schemas.openxmlformats.org/officeDocument/2006/relationships/hyperlink" Target="https://tabs.ultimate-guitar.com/tab/gin-blossoms/found-out-about-you-official-3430250" TargetMode="External"/><Relationship Id="rId3" Type="http://schemas.openxmlformats.org/officeDocument/2006/relationships/hyperlink" Target="https://www.kingsofewing.com/docs/music/won%27t%20back%20down.pdf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creedence-clearwater-revival/fortunate-son-official-1945887" TargetMode="External"/><Relationship Id="rId13" Type="http://schemas.openxmlformats.org/officeDocument/2006/relationships/hyperlink" Target="https://www.kingsofewing.com/docs/music/midnight%20rider.pdf" TargetMode="External"/><Relationship Id="rId18" Type="http://schemas.openxmlformats.org/officeDocument/2006/relationships/hyperlink" Target="https://tabs.ultimate-guitar.com/tab/neil-young/down-by-the-river-official-2701248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www.kingsofewing.com/docs/music/heroes.pdf" TargetMode="External"/><Relationship Id="rId7" Type="http://schemas.openxmlformats.org/officeDocument/2006/relationships/hyperlink" Target="https://www.kingsofewing.com/docs/music/fortunate%20son.pdf" TargetMode="External"/><Relationship Id="rId12" Type="http://schemas.openxmlformats.org/officeDocument/2006/relationships/hyperlink" Target="https://tabs.ultimate-guitar.com/tab/santana/no-one-to-depend-on-chords-3337193" TargetMode="External"/><Relationship Id="rId17" Type="http://schemas.openxmlformats.org/officeDocument/2006/relationships/hyperlink" Target="https://www.kingsofewing.com/docs/music/down%20by%20the%20river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neil-young/ohio-official-2548995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james/laid-official-2685951" TargetMode="External"/><Relationship Id="rId11" Type="http://schemas.openxmlformats.org/officeDocument/2006/relationships/hyperlink" Target="https://www.kingsofewing.com/docs/music/no%20one%20to%20depend%20on.pdf" TargetMode="External"/><Relationship Id="rId5" Type="http://schemas.openxmlformats.org/officeDocument/2006/relationships/hyperlink" Target="https://www.kingsofewing.com/docs/music/laid.pdf" TargetMode="External"/><Relationship Id="rId15" Type="http://schemas.openxmlformats.org/officeDocument/2006/relationships/hyperlink" Target="https://www.kingsofewing.com/docs/music/ohio.pdf" TargetMode="External"/><Relationship Id="rId10" Type="http://schemas.openxmlformats.org/officeDocument/2006/relationships/hyperlink" Target="https://tabs.ultimate-guitar.com/tab/gin-blossoms/found-out-about-you-official-3430250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found%20out%20about%20you.pdf" TargetMode="External"/><Relationship Id="rId14" Type="http://schemas.openxmlformats.org/officeDocument/2006/relationships/hyperlink" Target="https://tabs.ultimate-guitar.com/tab/the-allman-brothers-band/midnight-rider-official-2611482" TargetMode="External"/><Relationship Id="rId22" Type="http://schemas.openxmlformats.org/officeDocument/2006/relationships/hyperlink" Target="https://tabs.ultimate-guitar.com/tab/david-bowie/heroes-official-2457982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gin-blossoms/found-out-about-you-official-3430250" TargetMode="External"/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neil-young/down-by-the-river-official-2701248" TargetMode="External"/><Relationship Id="rId26" Type="http://schemas.openxmlformats.org/officeDocument/2006/relationships/hyperlink" Target="https://www.kingsofewing.com/docs/music/whipping_post.pdf" TargetMode="External"/><Relationship Id="rId3" Type="http://schemas.openxmlformats.org/officeDocument/2006/relationships/hyperlink" Target="https://www.kingsofewing.com/docs/music/won%27t%20back%20down.pdf" TargetMode="External"/><Relationship Id="rId21" Type="http://schemas.openxmlformats.org/officeDocument/2006/relationships/hyperlink" Target="https://tabs.ultimate-guitar.com/tab/the-kinks/dedicated-follower-of-fashion-official-4884518" TargetMode="External"/><Relationship Id="rId7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down%20by%20the%20river.pdf" TargetMode="External"/><Relationship Id="rId25" Type="http://schemas.openxmlformats.org/officeDocument/2006/relationships/hyperlink" Target="https://tabs.ultimate-guitar.com/tab/the-cure/just-like-heaven-official-1961213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allman-brothers-band/midnight-rider-official-2611482" TargetMode="External"/><Relationship Id="rId20" Type="http://schemas.openxmlformats.org/officeDocument/2006/relationships/hyperlink" Target="https://www.kingsofewing.com/docs/music/dedicated%20follower%20of%20fashion.pdf" TargetMode="External"/><Relationship Id="rId29" Type="http://schemas.openxmlformats.org/officeDocument/2006/relationships/hyperlink" Target="https://tabs.ultimate-guitar.com/tab/neil-young/ohio-official-2548995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www.kingsofewing.com/docs/music/just%20like%20heaven.pdf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midnight%20rider.pdf" TargetMode="External"/><Relationship Id="rId23" Type="http://schemas.openxmlformats.org/officeDocument/2006/relationships/hyperlink" Target="https://tabs.ultimate-guitar.com/tab/the-doors/riders-on-the-storm-official-2212149" TargetMode="External"/><Relationship Id="rId28" Type="http://schemas.openxmlformats.org/officeDocument/2006/relationships/hyperlink" Target="https://www.kingsofewing.com/docs/music/ohio.pdf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kings%20of%20ewing.pdf" TargetMode="External"/><Relationship Id="rId31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riders%20on%20the%20storm.pdf" TargetMode="External"/><Relationship Id="rId27" Type="http://schemas.openxmlformats.org/officeDocument/2006/relationships/hyperlink" Target="https://tabs.ultimate-guitar.com/tab/the-allman-brothers-band/whipping-post-official-2639163" TargetMode="External"/><Relationship Id="rId30" Type="http://schemas.openxmlformats.org/officeDocument/2006/relationships/hyperlink" Target="https://www.kingsofewing.com/docs/music/rockin%20in%20the%20free%20world.pdf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allman-brothers-band/whipping-post-official-2639163" TargetMode="External"/><Relationship Id="rId13" Type="http://schemas.openxmlformats.org/officeDocument/2006/relationships/hyperlink" Target="https://www.kingsofewing.com/docs/music/riders%20on%20the%20storm.pdf" TargetMode="External"/><Relationship Id="rId18" Type="http://schemas.openxmlformats.org/officeDocument/2006/relationships/hyperlink" Target="https://tabs.ultimate-guitar.com/tab/creedence-clearwater-revival/fortunate-son-official-1945887" TargetMode="External"/><Relationship Id="rId3" Type="http://schemas.openxmlformats.org/officeDocument/2006/relationships/hyperlink" Target="https://www.kingsofewing.com/docs/music/won%27t%20back%20down.pdf" TargetMode="External"/><Relationship Id="rId21" Type="http://schemas.openxmlformats.org/officeDocument/2006/relationships/hyperlink" Target="https://www.kingsofewing.com/docs/music/rockin%20in%20the%20free%20world.pdf" TargetMode="External"/><Relationship Id="rId7" Type="http://schemas.openxmlformats.org/officeDocument/2006/relationships/hyperlink" Target="https://www.kingsofewing.com/docs/music/whipping_post.pdf" TargetMode="External"/><Relationship Id="rId12" Type="http://schemas.openxmlformats.org/officeDocument/2006/relationships/hyperlink" Target="https://tabs.ultimate-guitar.com/tab/the-white-stripes/seven-nation-army-official-1911521" TargetMode="External"/><Relationship Id="rId17" Type="http://schemas.openxmlformats.org/officeDocument/2006/relationships/hyperlink" Target="https://www.kingsofewing.com/docs/music/fortunate%20son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david-bowie/heroes-official-2457982" TargetMode="External"/><Relationship Id="rId20" Type="http://schemas.openxmlformats.org/officeDocument/2006/relationships/hyperlink" Target="https://tabs.ultimate-guitar.com/tab/the-allman-brothers-band/midnight-rider-official-2611482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he-cure/just-like-heaven-official-1961213" TargetMode="External"/><Relationship Id="rId11" Type="http://schemas.openxmlformats.org/officeDocument/2006/relationships/hyperlink" Target="https://www.kingsofewing.com/docs/music/seven%20nation%20army.pdf" TargetMode="External"/><Relationship Id="rId5" Type="http://schemas.openxmlformats.org/officeDocument/2006/relationships/hyperlink" Target="https://www.kingsofewing.com/docs/music/just%20like%20heaven.pdf" TargetMode="External"/><Relationship Id="rId15" Type="http://schemas.openxmlformats.org/officeDocument/2006/relationships/hyperlink" Target="https://www.kingsofewing.com/docs/music/heroes.pdf" TargetMode="External"/><Relationship Id="rId10" Type="http://schemas.openxmlformats.org/officeDocument/2006/relationships/hyperlink" Target="https://tabs.ultimate-guitar.com/tab/neil-young/down-by-the-river-official-2701248" TargetMode="External"/><Relationship Id="rId19" Type="http://schemas.openxmlformats.org/officeDocument/2006/relationships/hyperlink" Target="https://www.kingsofewing.com/docs/music/midnight%20rider.pdf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down%20by%20the%20river.pdf" TargetMode="External"/><Relationship Id="rId14" Type="http://schemas.openxmlformats.org/officeDocument/2006/relationships/hyperlink" Target="https://tabs.ultimate-guitar.com/tab/the-doors/riders-on-the-storm-official-2212149" TargetMode="External"/><Relationship Id="rId22" Type="http://schemas.openxmlformats.org/officeDocument/2006/relationships/hyperlink" Target="https://tabs.ultimate-guitar.com/tab/neil-young/rockin-in-the-free-world-official-2518044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neil-young/down-by-the-river-official-2701248" TargetMode="External"/><Relationship Id="rId13" Type="http://schemas.openxmlformats.org/officeDocument/2006/relationships/hyperlink" Target="https://tabs.ultimate-guitar.com/tab/buffalo-springfield/for-what-its-worth-official-1956147" TargetMode="External"/><Relationship Id="rId18" Type="http://schemas.openxmlformats.org/officeDocument/2006/relationships/hyperlink" Target="https://www.kingsofewing.com/docs/music/heroes.pdf" TargetMode="External"/><Relationship Id="rId3" Type="http://schemas.openxmlformats.org/officeDocument/2006/relationships/hyperlink" Target="https://www.kingsofewing.com/docs/music/found%20out%20about%20you.pdf" TargetMode="External"/><Relationship Id="rId7" Type="http://schemas.openxmlformats.org/officeDocument/2006/relationships/hyperlink" Target="https://www.kingsofewing.com/docs/music/down%20by%20the%20river.pdf" TargetMode="External"/><Relationship Id="rId12" Type="http://schemas.openxmlformats.org/officeDocument/2006/relationships/hyperlink" Target="https://tabs.ultimate-guitar.com/tab/the-allman-brothers-band/whipping-post-official-2639163" TargetMode="External"/><Relationship Id="rId17" Type="http://schemas.openxmlformats.org/officeDocument/2006/relationships/hyperlink" Target="https://tabs.ultimate-guitar.com/tab/tom-petty/i-wont-back-down-official-2175865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www.kingsofewing.com/docs/music/won%27t%20back%20down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he-beatles/octopuss-garden-official-1957271" TargetMode="External"/><Relationship Id="rId11" Type="http://schemas.openxmlformats.org/officeDocument/2006/relationships/hyperlink" Target="https://www.kingsofewing.com/docs/music/whipping_post.pdf" TargetMode="External"/><Relationship Id="rId5" Type="http://schemas.openxmlformats.org/officeDocument/2006/relationships/hyperlink" Target="https://www.kingsofewing.com/docs/music/octopus_garden.pdf" TargetMode="External"/><Relationship Id="rId15" Type="http://schemas.openxmlformats.org/officeDocument/2006/relationships/hyperlink" Target="https://tabs.ultimate-guitar.com/tab/the-cure/just-like-heaven-official-1961213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19" Type="http://schemas.openxmlformats.org/officeDocument/2006/relationships/hyperlink" Target="https://tabs.ultimate-guitar.com/tab/david-bowie/heroes-official-2457982" TargetMode="External"/><Relationship Id="rId4" Type="http://schemas.openxmlformats.org/officeDocument/2006/relationships/hyperlink" Target="https://tabs.ultimate-guitar.com/tab/gin-blossoms/found-out-about-you-official-3430250" TargetMode="External"/><Relationship Id="rId9" Type="http://schemas.openxmlformats.org/officeDocument/2006/relationships/hyperlink" Target="https://www.kingsofewing.com/docs/music/dedicated%20follower%20of%20fashion.pdf" TargetMode="External"/><Relationship Id="rId14" Type="http://schemas.openxmlformats.org/officeDocument/2006/relationships/hyperlink" Target="https://www.kingsofewing.com/docs/music/just%20like%20heav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8.83203125" defaultRowHeight="15" x14ac:dyDescent="0.2"/>
  <cols>
    <col min="1" max="1" width="42.83203125" bestFit="1" customWidth="1"/>
    <col min="2" max="3" width="6" customWidth="1"/>
    <col min="4" max="4" width="38.1640625" bestFit="1" customWidth="1"/>
    <col min="5" max="5" width="18.6640625" bestFit="1" customWidth="1"/>
    <col min="6" max="6" width="11.83203125" bestFit="1" customWidth="1"/>
    <col min="7" max="7" width="15.1640625" bestFit="1" customWidth="1"/>
    <col min="8" max="8" width="14.5" bestFit="1" customWidth="1"/>
    <col min="9" max="9" width="16" customWidth="1"/>
    <col min="10" max="10" width="16" style="1" customWidth="1"/>
    <col min="11" max="11" width="16" customWidth="1"/>
    <col min="12" max="12" width="10" customWidth="1"/>
    <col min="13" max="25" width="16" customWidth="1"/>
    <col min="26" max="26" width="23.5" customWidth="1"/>
    <col min="27" max="27" width="16.83203125" customWidth="1"/>
    <col min="28" max="29" width="16.33203125" customWidth="1"/>
  </cols>
  <sheetData>
    <row r="1" spans="1:29" s="2" customFormat="1" ht="28" customHeight="1" thickTop="1" thickBot="1" x14ac:dyDescent="0.25">
      <c r="A1" s="47" t="s">
        <v>0</v>
      </c>
      <c r="B1" s="41"/>
      <c r="C1" s="41"/>
      <c r="D1" s="41"/>
      <c r="E1" s="41"/>
      <c r="F1" s="41"/>
      <c r="G1" s="41"/>
      <c r="H1" s="41"/>
      <c r="I1" s="41"/>
      <c r="J1" s="42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</row>
    <row r="2" spans="1:29" s="3" customFormat="1" ht="56" customHeight="1" thickTop="1" thickBot="1" x14ac:dyDescent="0.25">
      <c r="A2" s="141" t="s">
        <v>1</v>
      </c>
      <c r="B2" s="141" t="s">
        <v>2</v>
      </c>
      <c r="C2" s="141" t="s">
        <v>3</v>
      </c>
      <c r="D2" s="141" t="s">
        <v>4</v>
      </c>
      <c r="E2" s="141" t="s">
        <v>5</v>
      </c>
      <c r="F2" s="141" t="s">
        <v>6</v>
      </c>
      <c r="G2" s="141" t="s">
        <v>7</v>
      </c>
      <c r="H2" s="141" t="s">
        <v>8</v>
      </c>
      <c r="I2" s="141" t="s">
        <v>9</v>
      </c>
      <c r="J2" s="141" t="s">
        <v>10</v>
      </c>
      <c r="K2" s="141" t="s">
        <v>11</v>
      </c>
      <c r="L2" s="142" t="s">
        <v>272</v>
      </c>
      <c r="M2" s="143" t="s">
        <v>268</v>
      </c>
      <c r="N2" s="144" t="s">
        <v>12</v>
      </c>
      <c r="O2" s="144" t="s">
        <v>13</v>
      </c>
      <c r="P2" s="144" t="s">
        <v>14</v>
      </c>
      <c r="Q2" s="144" t="s">
        <v>15</v>
      </c>
      <c r="R2" s="144" t="s">
        <v>16</v>
      </c>
      <c r="S2" s="144" t="s">
        <v>17</v>
      </c>
      <c r="T2" s="144" t="s">
        <v>18</v>
      </c>
      <c r="U2" s="144" t="s">
        <v>19</v>
      </c>
      <c r="V2" s="144" t="s">
        <v>20</v>
      </c>
      <c r="W2" s="144" t="s">
        <v>21</v>
      </c>
      <c r="X2" s="144" t="s">
        <v>22</v>
      </c>
      <c r="Y2" s="144" t="s">
        <v>23</v>
      </c>
      <c r="Z2" s="144" t="s">
        <v>24</v>
      </c>
      <c r="AA2" s="144" t="s">
        <v>25</v>
      </c>
      <c r="AB2" s="144" t="s">
        <v>26</v>
      </c>
      <c r="AC2" s="144" t="s">
        <v>27</v>
      </c>
    </row>
    <row r="3" spans="1:29" ht="22" customHeight="1" thickTop="1" x14ac:dyDescent="0.2">
      <c r="A3" s="13" t="s">
        <v>28</v>
      </c>
      <c r="B3" s="43" t="s">
        <v>2</v>
      </c>
      <c r="C3" s="43" t="s">
        <v>3</v>
      </c>
      <c r="D3" s="13" t="s">
        <v>29</v>
      </c>
      <c r="E3" s="13" t="s">
        <v>30</v>
      </c>
      <c r="F3" s="139">
        <v>2.7662037037037039E-3</v>
      </c>
      <c r="G3" s="13" t="s">
        <v>31</v>
      </c>
      <c r="H3" s="13"/>
      <c r="I3" s="13" t="s">
        <v>32</v>
      </c>
      <c r="J3" s="13" t="s">
        <v>33</v>
      </c>
      <c r="K3" s="114"/>
      <c r="L3" s="140">
        <f>COUNTIF(M3:AC3,"✓")</f>
        <v>2</v>
      </c>
      <c r="M3" s="134"/>
      <c r="N3" s="124"/>
      <c r="O3" s="117"/>
      <c r="P3" s="13"/>
      <c r="Q3" s="13"/>
      <c r="R3" s="13"/>
      <c r="S3" s="13" t="s">
        <v>32</v>
      </c>
      <c r="T3" s="13" t="s">
        <v>32</v>
      </c>
      <c r="U3" s="13"/>
      <c r="V3" s="13"/>
      <c r="W3" s="13"/>
      <c r="X3" s="13"/>
      <c r="Y3" s="13"/>
      <c r="Z3" s="13"/>
      <c r="AA3" s="13"/>
      <c r="AB3" s="13"/>
      <c r="AC3" s="13"/>
    </row>
    <row r="4" spans="1:29" ht="22" customHeight="1" x14ac:dyDescent="0.2">
      <c r="A4" s="107" t="s">
        <v>34</v>
      </c>
      <c r="B4" s="108" t="s">
        <v>2</v>
      </c>
      <c r="C4" s="108" t="s">
        <v>3</v>
      </c>
      <c r="D4" s="107" t="s">
        <v>35</v>
      </c>
      <c r="E4" s="109" t="s">
        <v>30</v>
      </c>
      <c r="F4" s="110">
        <v>3.9583333333333337E-3</v>
      </c>
      <c r="G4" s="107" t="s">
        <v>36</v>
      </c>
      <c r="H4" s="107"/>
      <c r="I4" s="107"/>
      <c r="J4" s="107" t="s">
        <v>37</v>
      </c>
      <c r="K4" s="115"/>
      <c r="L4" s="138">
        <f>COUNTIF(M4:AC4,"✓")</f>
        <v>3</v>
      </c>
      <c r="M4" s="135"/>
      <c r="N4" s="121"/>
      <c r="O4" s="118"/>
      <c r="P4" s="107"/>
      <c r="Q4" s="107"/>
      <c r="R4" s="107"/>
      <c r="S4" s="107"/>
      <c r="T4" s="107" t="s">
        <v>32</v>
      </c>
      <c r="U4" s="107"/>
      <c r="V4" s="107"/>
      <c r="W4" s="107"/>
      <c r="X4" s="107" t="s">
        <v>32</v>
      </c>
      <c r="Y4" s="107" t="s">
        <v>32</v>
      </c>
      <c r="Z4" s="107"/>
      <c r="AA4" s="107"/>
      <c r="AB4" s="107"/>
      <c r="AC4" s="107"/>
    </row>
    <row r="5" spans="1:29" ht="22" customHeight="1" x14ac:dyDescent="0.2">
      <c r="A5" s="14" t="s">
        <v>247</v>
      </c>
      <c r="B5" s="44" t="s">
        <v>2</v>
      </c>
      <c r="C5" s="43" t="s">
        <v>3</v>
      </c>
      <c r="D5" s="14" t="s">
        <v>38</v>
      </c>
      <c r="E5" s="13" t="s">
        <v>30</v>
      </c>
      <c r="F5" s="62">
        <v>2.5810185185185185E-3</v>
      </c>
      <c r="G5" s="14" t="s">
        <v>39</v>
      </c>
      <c r="H5" s="14"/>
      <c r="I5" s="14" t="s">
        <v>32</v>
      </c>
      <c r="J5" s="14" t="s">
        <v>40</v>
      </c>
      <c r="K5" s="116"/>
      <c r="L5" s="137">
        <f>COUNTIF(M5:AC5,"✓")</f>
        <v>9</v>
      </c>
      <c r="M5" s="136" t="s">
        <v>32</v>
      </c>
      <c r="N5" s="122" t="s">
        <v>32</v>
      </c>
      <c r="O5" s="119" t="s">
        <v>32</v>
      </c>
      <c r="P5" s="14"/>
      <c r="Q5" s="14" t="s">
        <v>32</v>
      </c>
      <c r="R5" s="14"/>
      <c r="S5" s="14"/>
      <c r="T5" s="14" t="s">
        <v>32</v>
      </c>
      <c r="U5" s="14"/>
      <c r="V5" s="14" t="s">
        <v>32</v>
      </c>
      <c r="W5" s="14"/>
      <c r="X5" s="14" t="s">
        <v>32</v>
      </c>
      <c r="Y5" s="14" t="s">
        <v>32</v>
      </c>
      <c r="Z5" s="14"/>
      <c r="AA5" s="14" t="s">
        <v>32</v>
      </c>
      <c r="AB5" s="14"/>
      <c r="AC5" s="14"/>
    </row>
    <row r="6" spans="1:29" ht="22" customHeight="1" x14ac:dyDescent="0.2">
      <c r="A6" s="107" t="s">
        <v>41</v>
      </c>
      <c r="B6" s="108" t="s">
        <v>2</v>
      </c>
      <c r="C6" s="108" t="s">
        <v>3</v>
      </c>
      <c r="D6" s="107" t="s">
        <v>42</v>
      </c>
      <c r="E6" s="109" t="s">
        <v>30</v>
      </c>
      <c r="F6" s="110">
        <v>2.7199074074074074E-3</v>
      </c>
      <c r="G6" s="107" t="s">
        <v>39</v>
      </c>
      <c r="H6" s="107"/>
      <c r="I6" s="107" t="s">
        <v>32</v>
      </c>
      <c r="J6" s="107" t="s">
        <v>43</v>
      </c>
      <c r="K6" s="115"/>
      <c r="L6" s="138">
        <f>COUNTIF(M6:AC6,"✓")</f>
        <v>4</v>
      </c>
      <c r="M6" s="135" t="s">
        <v>32</v>
      </c>
      <c r="N6" s="121"/>
      <c r="O6" s="118"/>
      <c r="P6" s="107"/>
      <c r="Q6" s="107" t="s">
        <v>32</v>
      </c>
      <c r="R6" s="107" t="s">
        <v>32</v>
      </c>
      <c r="S6" s="107"/>
      <c r="T6" s="107" t="s">
        <v>32</v>
      </c>
      <c r="U6" s="107"/>
      <c r="V6" s="107"/>
      <c r="W6" s="107"/>
      <c r="X6" s="107"/>
      <c r="Y6" s="107"/>
      <c r="Z6" s="107"/>
      <c r="AA6" s="107"/>
      <c r="AB6" s="107"/>
      <c r="AC6" s="107"/>
    </row>
    <row r="7" spans="1:29" ht="22" customHeight="1" x14ac:dyDescent="0.2">
      <c r="A7" s="14" t="s">
        <v>44</v>
      </c>
      <c r="B7" s="15" t="s">
        <v>2</v>
      </c>
      <c r="C7" s="15" t="s">
        <v>3</v>
      </c>
      <c r="D7" s="14" t="s">
        <v>45</v>
      </c>
      <c r="E7" s="13" t="s">
        <v>30</v>
      </c>
      <c r="F7" s="62">
        <v>3.414351851851852E-3</v>
      </c>
      <c r="G7" s="14" t="s">
        <v>31</v>
      </c>
      <c r="H7" s="14"/>
      <c r="I7" s="14" t="s">
        <v>32</v>
      </c>
      <c r="J7" s="14" t="s">
        <v>43</v>
      </c>
      <c r="K7" s="116"/>
      <c r="L7" s="137">
        <f>COUNTIF(M7:AC7,"✓")</f>
        <v>5</v>
      </c>
      <c r="M7" s="136" t="s">
        <v>32</v>
      </c>
      <c r="N7" s="122" t="s">
        <v>32</v>
      </c>
      <c r="O7" s="119" t="s">
        <v>32</v>
      </c>
      <c r="P7" s="14" t="s">
        <v>32</v>
      </c>
      <c r="Q7" s="14" t="s">
        <v>32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ht="22" customHeight="1" x14ac:dyDescent="0.2">
      <c r="A8" s="107" t="s">
        <v>46</v>
      </c>
      <c r="B8" s="108" t="s">
        <v>2</v>
      </c>
      <c r="C8" s="108" t="s">
        <v>3</v>
      </c>
      <c r="D8" s="107" t="s">
        <v>47</v>
      </c>
      <c r="E8" s="109" t="s">
        <v>30</v>
      </c>
      <c r="F8" s="110">
        <v>1.7476851851851852E-3</v>
      </c>
      <c r="G8" s="107" t="s">
        <v>48</v>
      </c>
      <c r="H8" s="109" t="s">
        <v>32</v>
      </c>
      <c r="I8" s="107" t="s">
        <v>32</v>
      </c>
      <c r="J8" s="107" t="s">
        <v>43</v>
      </c>
      <c r="K8" s="115"/>
      <c r="L8" s="138">
        <f>COUNTIF(M8:AC8,"✓")</f>
        <v>9</v>
      </c>
      <c r="M8" s="135"/>
      <c r="N8" s="121"/>
      <c r="O8" s="118"/>
      <c r="P8" s="107"/>
      <c r="Q8" s="107" t="s">
        <v>32</v>
      </c>
      <c r="R8" s="107"/>
      <c r="S8" s="107"/>
      <c r="T8" s="107" t="s">
        <v>32</v>
      </c>
      <c r="U8" s="107" t="s">
        <v>32</v>
      </c>
      <c r="V8" s="107" t="s">
        <v>32</v>
      </c>
      <c r="W8" s="107" t="s">
        <v>32</v>
      </c>
      <c r="X8" s="107" t="s">
        <v>32</v>
      </c>
      <c r="Y8" s="107" t="s">
        <v>32</v>
      </c>
      <c r="Z8" s="107"/>
      <c r="AA8" s="107" t="s">
        <v>32</v>
      </c>
      <c r="AB8" s="107"/>
      <c r="AC8" s="107" t="s">
        <v>32</v>
      </c>
    </row>
    <row r="9" spans="1:29" ht="22" customHeight="1" x14ac:dyDescent="0.2">
      <c r="A9" s="14" t="s">
        <v>49</v>
      </c>
      <c r="B9" s="15" t="s">
        <v>2</v>
      </c>
      <c r="C9" s="15" t="s">
        <v>3</v>
      </c>
      <c r="D9" s="14" t="s">
        <v>42</v>
      </c>
      <c r="E9" s="13" t="s">
        <v>30</v>
      </c>
      <c r="F9" s="62">
        <v>2.1875000000000002E-3</v>
      </c>
      <c r="G9" s="14" t="s">
        <v>31</v>
      </c>
      <c r="H9" s="14"/>
      <c r="I9" s="14" t="s">
        <v>32</v>
      </c>
      <c r="J9" s="14" t="s">
        <v>43</v>
      </c>
      <c r="K9" s="116"/>
      <c r="L9" s="137">
        <f>COUNTIF(M9:AC9,"✓")</f>
        <v>17</v>
      </c>
      <c r="M9" s="136" t="s">
        <v>32</v>
      </c>
      <c r="N9" s="122" t="s">
        <v>32</v>
      </c>
      <c r="O9" s="119" t="s">
        <v>32</v>
      </c>
      <c r="P9" s="14" t="s">
        <v>32</v>
      </c>
      <c r="Q9" s="14" t="s">
        <v>32</v>
      </c>
      <c r="R9" s="14" t="s">
        <v>32</v>
      </c>
      <c r="S9" s="14" t="s">
        <v>32</v>
      </c>
      <c r="T9" s="14" t="s">
        <v>32</v>
      </c>
      <c r="U9" s="14" t="s">
        <v>32</v>
      </c>
      <c r="V9" s="14" t="s">
        <v>32</v>
      </c>
      <c r="W9" s="14" t="s">
        <v>32</v>
      </c>
      <c r="X9" s="14" t="s">
        <v>32</v>
      </c>
      <c r="Y9" s="14" t="s">
        <v>32</v>
      </c>
      <c r="Z9" s="14" t="s">
        <v>32</v>
      </c>
      <c r="AA9" s="14" t="s">
        <v>32</v>
      </c>
      <c r="AB9" s="14" t="s">
        <v>32</v>
      </c>
      <c r="AC9" s="14" t="s">
        <v>32</v>
      </c>
    </row>
    <row r="10" spans="1:29" ht="22" customHeight="1" x14ac:dyDescent="0.2">
      <c r="A10" s="107" t="s">
        <v>50</v>
      </c>
      <c r="B10" s="108" t="s">
        <v>2</v>
      </c>
      <c r="C10" s="108" t="s">
        <v>3</v>
      </c>
      <c r="D10" s="107" t="s">
        <v>51</v>
      </c>
      <c r="E10" s="109" t="s">
        <v>30</v>
      </c>
      <c r="F10" s="110">
        <v>3.3449074074074076E-3</v>
      </c>
      <c r="G10" s="107" t="s">
        <v>48</v>
      </c>
      <c r="H10" s="109" t="s">
        <v>32</v>
      </c>
      <c r="I10" s="107"/>
      <c r="J10" s="107" t="s">
        <v>37</v>
      </c>
      <c r="K10" s="115"/>
      <c r="L10" s="138">
        <f>COUNTIF(M10:AC10,"✓")</f>
        <v>1</v>
      </c>
      <c r="M10" s="135"/>
      <c r="N10" s="121"/>
      <c r="O10" s="118"/>
      <c r="P10" s="107"/>
      <c r="Q10" s="107"/>
      <c r="R10" s="107"/>
      <c r="S10" s="107"/>
      <c r="T10" s="107"/>
      <c r="U10" s="107"/>
      <c r="V10" s="107"/>
      <c r="W10" s="107"/>
      <c r="X10" s="107" t="s">
        <v>32</v>
      </c>
      <c r="Y10" s="107"/>
      <c r="Z10" s="107"/>
      <c r="AA10" s="107"/>
      <c r="AB10" s="107"/>
      <c r="AC10" s="107"/>
    </row>
    <row r="11" spans="1:29" ht="22" customHeight="1" x14ac:dyDescent="0.2">
      <c r="A11" s="14" t="s">
        <v>52</v>
      </c>
      <c r="B11" s="15" t="s">
        <v>2</v>
      </c>
      <c r="C11" s="15" t="s">
        <v>3</v>
      </c>
      <c r="D11" s="14" t="s">
        <v>53</v>
      </c>
      <c r="E11" s="13" t="s">
        <v>30</v>
      </c>
      <c r="F11" s="62">
        <v>5.5555555555555558E-3</v>
      </c>
      <c r="G11" s="14" t="s">
        <v>31</v>
      </c>
      <c r="H11" s="14"/>
      <c r="I11" s="14"/>
      <c r="J11" s="14" t="s">
        <v>33</v>
      </c>
      <c r="K11" s="116"/>
      <c r="L11" s="137">
        <f>COUNTIF(M11:AC11,"✓")</f>
        <v>9</v>
      </c>
      <c r="M11" s="136"/>
      <c r="N11" s="120"/>
      <c r="O11" s="119"/>
      <c r="P11" s="14"/>
      <c r="Q11" s="14"/>
      <c r="R11" s="14"/>
      <c r="S11" s="14"/>
      <c r="T11" s="14" t="s">
        <v>32</v>
      </c>
      <c r="U11" s="14" t="s">
        <v>32</v>
      </c>
      <c r="V11" s="14"/>
      <c r="W11" s="14" t="s">
        <v>32</v>
      </c>
      <c r="X11" s="14" t="s">
        <v>32</v>
      </c>
      <c r="Y11" s="14" t="s">
        <v>32</v>
      </c>
      <c r="Z11" s="14" t="s">
        <v>32</v>
      </c>
      <c r="AA11" s="14" t="s">
        <v>32</v>
      </c>
      <c r="AB11" s="14" t="s">
        <v>32</v>
      </c>
      <c r="AC11" s="14" t="s">
        <v>32</v>
      </c>
    </row>
    <row r="12" spans="1:29" ht="22" customHeight="1" x14ac:dyDescent="0.2">
      <c r="A12" s="107" t="s">
        <v>54</v>
      </c>
      <c r="B12" s="108" t="s">
        <v>2</v>
      </c>
      <c r="C12" s="108" t="s">
        <v>3</v>
      </c>
      <c r="D12" s="107" t="s">
        <v>55</v>
      </c>
      <c r="E12" s="109" t="s">
        <v>30</v>
      </c>
      <c r="F12" s="110">
        <v>2.7430555555555554E-3</v>
      </c>
      <c r="G12" s="107" t="s">
        <v>39</v>
      </c>
      <c r="H12" s="107"/>
      <c r="I12" s="107" t="s">
        <v>32</v>
      </c>
      <c r="J12" s="107" t="s">
        <v>56</v>
      </c>
      <c r="K12" s="115"/>
      <c r="L12" s="138">
        <f>COUNTIF(M12:AC12,"✓")</f>
        <v>6</v>
      </c>
      <c r="M12" s="135" t="s">
        <v>32</v>
      </c>
      <c r="N12" s="123" t="s">
        <v>32</v>
      </c>
      <c r="O12" s="118" t="s">
        <v>32</v>
      </c>
      <c r="P12" s="107" t="s">
        <v>32</v>
      </c>
      <c r="Q12" s="107" t="s">
        <v>32</v>
      </c>
      <c r="R12" s="107" t="s">
        <v>32</v>
      </c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</row>
    <row r="13" spans="1:29" ht="22" customHeight="1" x14ac:dyDescent="0.2">
      <c r="A13" s="14" t="s">
        <v>57</v>
      </c>
      <c r="B13" s="15" t="s">
        <v>2</v>
      </c>
      <c r="C13" s="15" t="s">
        <v>3</v>
      </c>
      <c r="D13" s="14" t="s">
        <v>58</v>
      </c>
      <c r="E13" s="13" t="s">
        <v>59</v>
      </c>
      <c r="F13" s="62">
        <v>2.3032407407407407E-3</v>
      </c>
      <c r="G13" s="14" t="s">
        <v>39</v>
      </c>
      <c r="H13" s="14"/>
      <c r="I13" s="14" t="s">
        <v>32</v>
      </c>
      <c r="J13" s="14" t="s">
        <v>60</v>
      </c>
      <c r="K13" s="116"/>
      <c r="L13" s="137">
        <f>COUNTIF(M13:AC13,"✓")</f>
        <v>2</v>
      </c>
      <c r="M13" s="136"/>
      <c r="N13" s="120"/>
      <c r="O13" s="119"/>
      <c r="P13" s="14"/>
      <c r="Q13" s="14"/>
      <c r="R13" s="14"/>
      <c r="S13" s="14"/>
      <c r="T13" s="14" t="s">
        <v>32</v>
      </c>
      <c r="U13" s="14" t="s">
        <v>32</v>
      </c>
      <c r="V13" s="14"/>
      <c r="W13" s="14"/>
      <c r="X13" s="14"/>
      <c r="Y13" s="14"/>
      <c r="Z13" s="14"/>
      <c r="AA13" s="14"/>
      <c r="AB13" s="14"/>
      <c r="AC13" s="14"/>
    </row>
    <row r="14" spans="1:29" ht="22" customHeight="1" x14ac:dyDescent="0.2">
      <c r="A14" s="107" t="s">
        <v>61</v>
      </c>
      <c r="B14" s="112" t="s">
        <v>2</v>
      </c>
      <c r="C14" s="108" t="s">
        <v>3</v>
      </c>
      <c r="D14" s="107" t="s">
        <v>62</v>
      </c>
      <c r="E14" s="109" t="s">
        <v>30</v>
      </c>
      <c r="F14" s="110">
        <v>1.7708333333333332E-3</v>
      </c>
      <c r="G14" s="107" t="s">
        <v>31</v>
      </c>
      <c r="H14" s="107"/>
      <c r="I14" s="107"/>
      <c r="J14" s="107" t="s">
        <v>43</v>
      </c>
      <c r="K14" s="115"/>
      <c r="L14" s="138">
        <f>COUNTIF(M14:AC14,"✓")</f>
        <v>1</v>
      </c>
      <c r="M14" s="135"/>
      <c r="N14" s="121"/>
      <c r="O14" s="118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 t="s">
        <v>32</v>
      </c>
    </row>
    <row r="15" spans="1:29" ht="22" customHeight="1" x14ac:dyDescent="0.2">
      <c r="A15" s="14" t="s">
        <v>63</v>
      </c>
      <c r="B15" s="15" t="s">
        <v>2</v>
      </c>
      <c r="C15" s="15" t="s">
        <v>3</v>
      </c>
      <c r="D15" s="14" t="s">
        <v>64</v>
      </c>
      <c r="E15" s="13" t="s">
        <v>30</v>
      </c>
      <c r="F15" s="62">
        <v>2.7893518518518519E-3</v>
      </c>
      <c r="G15" s="14" t="s">
        <v>31</v>
      </c>
      <c r="H15" s="14"/>
      <c r="I15" s="14" t="s">
        <v>32</v>
      </c>
      <c r="J15" s="14" t="s">
        <v>43</v>
      </c>
      <c r="K15" s="116"/>
      <c r="L15" s="137">
        <f>COUNTIF(M15:AC15,"✓")</f>
        <v>13</v>
      </c>
      <c r="M15" s="136" t="s">
        <v>32</v>
      </c>
      <c r="N15" s="122" t="s">
        <v>32</v>
      </c>
      <c r="O15" s="119" t="s">
        <v>32</v>
      </c>
      <c r="P15" s="14"/>
      <c r="Q15" s="14" t="s">
        <v>32</v>
      </c>
      <c r="R15" s="14"/>
      <c r="S15" s="14" t="s">
        <v>32</v>
      </c>
      <c r="T15" s="14" t="s">
        <v>32</v>
      </c>
      <c r="U15" s="14" t="s">
        <v>32</v>
      </c>
      <c r="V15" s="14" t="s">
        <v>32</v>
      </c>
      <c r="W15" s="14"/>
      <c r="X15" s="14" t="s">
        <v>32</v>
      </c>
      <c r="Y15" s="14" t="s">
        <v>32</v>
      </c>
      <c r="Z15" s="14" t="s">
        <v>32</v>
      </c>
      <c r="AA15" s="14" t="s">
        <v>32</v>
      </c>
      <c r="AB15" s="14" t="s">
        <v>32</v>
      </c>
      <c r="AC15" s="14"/>
    </row>
    <row r="16" spans="1:29" ht="22" customHeight="1" x14ac:dyDescent="0.2">
      <c r="A16" s="107" t="s">
        <v>65</v>
      </c>
      <c r="B16" s="108" t="s">
        <v>2</v>
      </c>
      <c r="C16" s="108" t="s">
        <v>3</v>
      </c>
      <c r="D16" s="107" t="s">
        <v>66</v>
      </c>
      <c r="E16" s="109" t="s">
        <v>30</v>
      </c>
      <c r="F16" s="110">
        <v>2.488425925925926E-3</v>
      </c>
      <c r="G16" s="107" t="s">
        <v>36</v>
      </c>
      <c r="H16" s="107"/>
      <c r="I16" s="107" t="s">
        <v>32</v>
      </c>
      <c r="J16" s="107" t="s">
        <v>37</v>
      </c>
      <c r="K16" s="115"/>
      <c r="L16" s="138">
        <f>COUNTIF(M16:AC16,"✓")</f>
        <v>8</v>
      </c>
      <c r="M16" s="135" t="s">
        <v>32</v>
      </c>
      <c r="N16" s="121"/>
      <c r="O16" s="118"/>
      <c r="P16" s="107"/>
      <c r="Q16" s="107" t="s">
        <v>32</v>
      </c>
      <c r="R16" s="107"/>
      <c r="S16" s="107"/>
      <c r="T16" s="107" t="s">
        <v>32</v>
      </c>
      <c r="U16" s="107"/>
      <c r="V16" s="107"/>
      <c r="W16" s="107"/>
      <c r="X16" s="107" t="s">
        <v>32</v>
      </c>
      <c r="Y16" s="107" t="s">
        <v>32</v>
      </c>
      <c r="Z16" s="107" t="s">
        <v>32</v>
      </c>
      <c r="AA16" s="107" t="s">
        <v>32</v>
      </c>
      <c r="AB16" s="107"/>
      <c r="AC16" s="107" t="s">
        <v>32</v>
      </c>
    </row>
    <row r="17" spans="1:29" ht="22" customHeight="1" x14ac:dyDescent="0.2">
      <c r="A17" s="14" t="s">
        <v>67</v>
      </c>
      <c r="B17" s="15" t="s">
        <v>2</v>
      </c>
      <c r="C17" s="15" t="s">
        <v>3</v>
      </c>
      <c r="D17" s="14" t="s">
        <v>68</v>
      </c>
      <c r="E17" s="13" t="s">
        <v>59</v>
      </c>
      <c r="F17" s="62">
        <v>1.9328703703703704E-3</v>
      </c>
      <c r="G17" s="14" t="s">
        <v>39</v>
      </c>
      <c r="H17" s="14"/>
      <c r="I17" s="14" t="s">
        <v>32</v>
      </c>
      <c r="J17" s="14" t="s">
        <v>69</v>
      </c>
      <c r="K17" s="116"/>
      <c r="L17" s="137">
        <f>COUNTIF(M17:AC17,"✓")</f>
        <v>1</v>
      </c>
      <c r="M17" s="136"/>
      <c r="N17" s="120"/>
      <c r="O17" s="119"/>
      <c r="P17" s="14"/>
      <c r="Q17" s="14" t="s">
        <v>32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22" customHeight="1" x14ac:dyDescent="0.2">
      <c r="A18" s="107" t="s">
        <v>70</v>
      </c>
      <c r="B18" s="108" t="s">
        <v>2</v>
      </c>
      <c r="C18" s="108" t="s">
        <v>3</v>
      </c>
      <c r="D18" s="107" t="s">
        <v>71</v>
      </c>
      <c r="E18" s="109" t="s">
        <v>30</v>
      </c>
      <c r="F18" s="110">
        <v>2.4305555555555556E-3</v>
      </c>
      <c r="G18" s="107" t="s">
        <v>31</v>
      </c>
      <c r="H18" s="107"/>
      <c r="I18" s="107" t="s">
        <v>32</v>
      </c>
      <c r="J18" s="107" t="s">
        <v>69</v>
      </c>
      <c r="K18" s="115"/>
      <c r="L18" s="138">
        <f>COUNTIF(M18:AC18,"✓")</f>
        <v>8</v>
      </c>
      <c r="M18" s="135" t="s">
        <v>32</v>
      </c>
      <c r="N18" s="123" t="s">
        <v>32</v>
      </c>
      <c r="O18" s="118" t="s">
        <v>32</v>
      </c>
      <c r="P18" s="107"/>
      <c r="Q18" s="107" t="s">
        <v>32</v>
      </c>
      <c r="R18" s="107" t="s">
        <v>32</v>
      </c>
      <c r="S18" s="107" t="s">
        <v>32</v>
      </c>
      <c r="T18" s="107" t="s">
        <v>32</v>
      </c>
      <c r="U18" s="107" t="s">
        <v>32</v>
      </c>
      <c r="V18" s="107"/>
      <c r="W18" s="107"/>
      <c r="X18" s="107"/>
      <c r="Y18" s="107"/>
      <c r="Z18" s="107"/>
      <c r="AA18" s="107"/>
      <c r="AB18" s="107"/>
      <c r="AC18" s="107"/>
    </row>
    <row r="19" spans="1:29" ht="22" customHeight="1" x14ac:dyDescent="0.2">
      <c r="A19" s="14" t="s">
        <v>72</v>
      </c>
      <c r="B19" s="15" t="s">
        <v>2</v>
      </c>
      <c r="C19" s="15" t="s">
        <v>3</v>
      </c>
      <c r="D19" s="14" t="s">
        <v>73</v>
      </c>
      <c r="E19" s="13" t="s">
        <v>30</v>
      </c>
      <c r="F19" s="62">
        <v>2.6041666666666665E-3</v>
      </c>
      <c r="G19" s="14" t="s">
        <v>36</v>
      </c>
      <c r="H19" s="14"/>
      <c r="I19" s="14" t="s">
        <v>32</v>
      </c>
      <c r="J19" s="14" t="s">
        <v>56</v>
      </c>
      <c r="K19" s="116"/>
      <c r="L19" s="137">
        <f>COUNTIF(M19:AC19,"✓")</f>
        <v>5</v>
      </c>
      <c r="M19" s="136" t="s">
        <v>32</v>
      </c>
      <c r="N19" s="122" t="s">
        <v>32</v>
      </c>
      <c r="O19" s="119" t="s">
        <v>32</v>
      </c>
      <c r="P19" s="14" t="s">
        <v>32</v>
      </c>
      <c r="Q19" s="14" t="s">
        <v>32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22" customHeight="1" x14ac:dyDescent="0.2">
      <c r="A20" s="107" t="s">
        <v>74</v>
      </c>
      <c r="B20" s="108" t="s">
        <v>2</v>
      </c>
      <c r="C20" s="108" t="s">
        <v>3</v>
      </c>
      <c r="D20" s="107" t="s">
        <v>75</v>
      </c>
      <c r="E20" s="109" t="s">
        <v>30</v>
      </c>
      <c r="F20" s="110">
        <v>4.6874999999999998E-3</v>
      </c>
      <c r="G20" s="107" t="s">
        <v>39</v>
      </c>
      <c r="H20" s="107"/>
      <c r="I20" s="107" t="s">
        <v>32</v>
      </c>
      <c r="J20" s="107" t="s">
        <v>33</v>
      </c>
      <c r="K20" s="115"/>
      <c r="L20" s="138">
        <f>COUNTIF(M20:AC20,"✓")</f>
        <v>9</v>
      </c>
      <c r="M20" s="135" t="s">
        <v>32</v>
      </c>
      <c r="N20" s="121"/>
      <c r="O20" s="118"/>
      <c r="P20" s="107"/>
      <c r="Q20" s="107" t="s">
        <v>32</v>
      </c>
      <c r="R20" s="107"/>
      <c r="S20" s="107"/>
      <c r="T20" s="107" t="s">
        <v>32</v>
      </c>
      <c r="U20" s="107" t="s">
        <v>32</v>
      </c>
      <c r="V20" s="107"/>
      <c r="W20" s="107"/>
      <c r="X20" s="107" t="s">
        <v>32</v>
      </c>
      <c r="Y20" s="107" t="s">
        <v>32</v>
      </c>
      <c r="Z20" s="107" t="s">
        <v>32</v>
      </c>
      <c r="AA20" s="107"/>
      <c r="AB20" s="107" t="s">
        <v>32</v>
      </c>
      <c r="AC20" s="107" t="s">
        <v>32</v>
      </c>
    </row>
    <row r="21" spans="1:29" ht="22" customHeight="1" x14ac:dyDescent="0.2">
      <c r="A21" s="14" t="s">
        <v>76</v>
      </c>
      <c r="B21" s="15" t="s">
        <v>2</v>
      </c>
      <c r="C21" s="15" t="s">
        <v>3</v>
      </c>
      <c r="D21" s="14" t="s">
        <v>77</v>
      </c>
      <c r="E21" s="13" t="s">
        <v>30</v>
      </c>
      <c r="F21" s="62">
        <v>2.5115740740740741E-3</v>
      </c>
      <c r="G21" s="14" t="s">
        <v>31</v>
      </c>
      <c r="H21" s="14"/>
      <c r="I21" s="14"/>
      <c r="J21" s="14" t="s">
        <v>43</v>
      </c>
      <c r="K21" s="116"/>
      <c r="L21" s="137">
        <f>COUNTIF(M21:AC21,"✓")</f>
        <v>1</v>
      </c>
      <c r="M21" s="136"/>
      <c r="N21" s="120"/>
      <c r="O21" s="119"/>
      <c r="P21" s="14"/>
      <c r="Q21" s="14"/>
      <c r="R21" s="14"/>
      <c r="S21" s="14"/>
      <c r="T21" s="14"/>
      <c r="U21" s="14"/>
      <c r="V21" s="14"/>
      <c r="W21" s="14"/>
      <c r="X21" s="14" t="s">
        <v>32</v>
      </c>
      <c r="Y21" s="14"/>
      <c r="Z21" s="14"/>
      <c r="AA21" s="14"/>
      <c r="AB21" s="14"/>
      <c r="AC21" s="14"/>
    </row>
    <row r="22" spans="1:29" ht="22" customHeight="1" x14ac:dyDescent="0.2">
      <c r="A22" s="107" t="s">
        <v>78</v>
      </c>
      <c r="B22" s="108" t="s">
        <v>2</v>
      </c>
      <c r="C22" s="108" t="s">
        <v>3</v>
      </c>
      <c r="D22" s="107" t="s">
        <v>79</v>
      </c>
      <c r="E22" s="109" t="s">
        <v>30</v>
      </c>
      <c r="F22" s="110">
        <v>2.5810185185185185E-3</v>
      </c>
      <c r="G22" s="107" t="s">
        <v>39</v>
      </c>
      <c r="H22" s="107"/>
      <c r="I22" s="107" t="s">
        <v>32</v>
      </c>
      <c r="J22" s="107" t="s">
        <v>56</v>
      </c>
      <c r="K22" s="115"/>
      <c r="L22" s="138">
        <f>COUNTIF(M22:AC22,"✓")</f>
        <v>16</v>
      </c>
      <c r="M22" s="135" t="s">
        <v>32</v>
      </c>
      <c r="N22" s="123" t="s">
        <v>32</v>
      </c>
      <c r="O22" s="118" t="s">
        <v>32</v>
      </c>
      <c r="P22" s="107" t="s">
        <v>32</v>
      </c>
      <c r="Q22" s="107" t="s">
        <v>32</v>
      </c>
      <c r="R22" s="107"/>
      <c r="S22" s="107" t="s">
        <v>32</v>
      </c>
      <c r="T22" s="107" t="s">
        <v>32</v>
      </c>
      <c r="U22" s="107" t="s">
        <v>32</v>
      </c>
      <c r="V22" s="107" t="s">
        <v>32</v>
      </c>
      <c r="W22" s="107" t="s">
        <v>32</v>
      </c>
      <c r="X22" s="107" t="s">
        <v>32</v>
      </c>
      <c r="Y22" s="107" t="s">
        <v>32</v>
      </c>
      <c r="Z22" s="107" t="s">
        <v>32</v>
      </c>
      <c r="AA22" s="107" t="s">
        <v>32</v>
      </c>
      <c r="AB22" s="107" t="s">
        <v>32</v>
      </c>
      <c r="AC22" s="107" t="s">
        <v>32</v>
      </c>
    </row>
    <row r="23" spans="1:29" ht="22" customHeight="1" x14ac:dyDescent="0.2">
      <c r="A23" s="14" t="s">
        <v>80</v>
      </c>
      <c r="B23" s="43" t="s">
        <v>2</v>
      </c>
      <c r="C23" s="15" t="s">
        <v>3</v>
      </c>
      <c r="D23" s="14" t="s">
        <v>81</v>
      </c>
      <c r="E23" s="13" t="s">
        <v>30</v>
      </c>
      <c r="F23" s="62">
        <v>2.6041666666666665E-3</v>
      </c>
      <c r="G23" s="14" t="s">
        <v>39</v>
      </c>
      <c r="H23" s="14"/>
      <c r="I23" s="14" t="s">
        <v>32</v>
      </c>
      <c r="J23" s="14" t="s">
        <v>33</v>
      </c>
      <c r="K23" s="116"/>
      <c r="L23" s="137">
        <f>COUNTIF(M23:AC23,"✓")</f>
        <v>8</v>
      </c>
      <c r="M23" s="136"/>
      <c r="N23" s="120"/>
      <c r="O23" s="119"/>
      <c r="P23" s="14"/>
      <c r="Q23" s="14" t="s">
        <v>32</v>
      </c>
      <c r="R23" s="14"/>
      <c r="S23" s="14" t="s">
        <v>32</v>
      </c>
      <c r="T23" s="14" t="s">
        <v>32</v>
      </c>
      <c r="U23" s="14" t="s">
        <v>32</v>
      </c>
      <c r="V23" s="14" t="s">
        <v>32</v>
      </c>
      <c r="W23" s="14" t="s">
        <v>32</v>
      </c>
      <c r="X23" s="14" t="s">
        <v>32</v>
      </c>
      <c r="Y23" s="14" t="s">
        <v>32</v>
      </c>
      <c r="Z23" s="14"/>
      <c r="AA23" s="14"/>
      <c r="AB23" s="14"/>
      <c r="AC23" s="14"/>
    </row>
    <row r="24" spans="1:29" ht="22" customHeight="1" x14ac:dyDescent="0.2">
      <c r="A24" s="107" t="s">
        <v>82</v>
      </c>
      <c r="B24" s="108" t="s">
        <v>2</v>
      </c>
      <c r="C24" s="113"/>
      <c r="D24" s="107" t="s">
        <v>83</v>
      </c>
      <c r="E24" s="109" t="s">
        <v>30</v>
      </c>
      <c r="F24" s="110">
        <v>3.8541666666666668E-3</v>
      </c>
      <c r="G24" s="107" t="s">
        <v>36</v>
      </c>
      <c r="H24" s="107"/>
      <c r="I24" s="107" t="s">
        <v>32</v>
      </c>
      <c r="J24" s="107" t="s">
        <v>84</v>
      </c>
      <c r="K24" s="115"/>
      <c r="L24" s="138">
        <f>COUNTIF(M24:AC24,"✓")</f>
        <v>8</v>
      </c>
      <c r="M24" s="135"/>
      <c r="N24" s="123" t="s">
        <v>32</v>
      </c>
      <c r="O24" s="118"/>
      <c r="P24" s="107"/>
      <c r="Q24" s="107" t="s">
        <v>32</v>
      </c>
      <c r="R24" s="107"/>
      <c r="S24" s="107"/>
      <c r="T24" s="107" t="s">
        <v>32</v>
      </c>
      <c r="U24" s="107" t="s">
        <v>32</v>
      </c>
      <c r="V24" s="107"/>
      <c r="W24" s="107" t="s">
        <v>32</v>
      </c>
      <c r="X24" s="107" t="s">
        <v>32</v>
      </c>
      <c r="Y24" s="107" t="s">
        <v>32</v>
      </c>
      <c r="Z24" s="107"/>
      <c r="AA24" s="107" t="s">
        <v>32</v>
      </c>
      <c r="AB24" s="107"/>
      <c r="AC24" s="107"/>
    </row>
    <row r="25" spans="1:29" ht="22" customHeight="1" x14ac:dyDescent="0.2">
      <c r="A25" s="14" t="s">
        <v>85</v>
      </c>
      <c r="B25" s="15" t="s">
        <v>2</v>
      </c>
      <c r="C25" s="15" t="s">
        <v>3</v>
      </c>
      <c r="D25" s="14" t="s">
        <v>86</v>
      </c>
      <c r="E25" s="13" t="s">
        <v>30</v>
      </c>
      <c r="F25" s="62">
        <v>1.9791666666666668E-3</v>
      </c>
      <c r="G25" s="14" t="s">
        <v>48</v>
      </c>
      <c r="H25" s="13" t="s">
        <v>32</v>
      </c>
      <c r="I25" s="14" t="s">
        <v>32</v>
      </c>
      <c r="J25" s="14" t="s">
        <v>37</v>
      </c>
      <c r="K25" s="116"/>
      <c r="L25" s="137">
        <f>COUNTIF(M25:AC25,"✓")</f>
        <v>10</v>
      </c>
      <c r="M25" s="136" t="s">
        <v>32</v>
      </c>
      <c r="N25" s="120"/>
      <c r="O25" s="12"/>
      <c r="P25" s="14" t="s">
        <v>32</v>
      </c>
      <c r="Q25" s="14" t="s">
        <v>32</v>
      </c>
      <c r="R25" s="14"/>
      <c r="S25" s="14"/>
      <c r="T25" s="14" t="s">
        <v>32</v>
      </c>
      <c r="U25" s="14" t="s">
        <v>32</v>
      </c>
      <c r="V25" s="14"/>
      <c r="W25" s="14" t="s">
        <v>32</v>
      </c>
      <c r="X25" s="14" t="s">
        <v>32</v>
      </c>
      <c r="Y25" s="14" t="s">
        <v>32</v>
      </c>
      <c r="Z25" s="14" t="s">
        <v>32</v>
      </c>
      <c r="AA25" s="14" t="s">
        <v>32</v>
      </c>
      <c r="AB25" s="14"/>
      <c r="AC25" s="14"/>
    </row>
    <row r="26" spans="1:29" ht="22" customHeight="1" x14ac:dyDescent="0.2">
      <c r="A26" s="107" t="s">
        <v>87</v>
      </c>
      <c r="B26" s="108" t="s">
        <v>2</v>
      </c>
      <c r="C26" s="108" t="s">
        <v>3</v>
      </c>
      <c r="D26" s="107" t="s">
        <v>88</v>
      </c>
      <c r="E26" s="109" t="s">
        <v>30</v>
      </c>
      <c r="F26" s="110">
        <v>2.650462962962963E-3</v>
      </c>
      <c r="G26" s="107" t="s">
        <v>31</v>
      </c>
      <c r="H26" s="107"/>
      <c r="I26" s="107" t="s">
        <v>32</v>
      </c>
      <c r="J26" s="107" t="s">
        <v>33</v>
      </c>
      <c r="K26" s="115"/>
      <c r="L26" s="138">
        <f>COUNTIF(M26:AC26,"✓")</f>
        <v>1</v>
      </c>
      <c r="M26" s="135" t="s">
        <v>32</v>
      </c>
      <c r="N26" s="12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</row>
    <row r="27" spans="1:29" ht="22" customHeight="1" x14ac:dyDescent="0.2">
      <c r="A27" s="14" t="s">
        <v>89</v>
      </c>
      <c r="B27" s="15" t="s">
        <v>2</v>
      </c>
      <c r="C27" s="15" t="s">
        <v>3</v>
      </c>
      <c r="D27" s="14" t="s">
        <v>51</v>
      </c>
      <c r="E27" s="13" t="s">
        <v>30</v>
      </c>
      <c r="F27" s="62">
        <v>3.0439814814814813E-3</v>
      </c>
      <c r="G27" s="14" t="s">
        <v>48</v>
      </c>
      <c r="H27" s="13" t="s">
        <v>32</v>
      </c>
      <c r="I27" s="14" t="s">
        <v>32</v>
      </c>
      <c r="J27" s="14" t="s">
        <v>40</v>
      </c>
      <c r="K27" s="116"/>
      <c r="L27" s="137">
        <f>COUNTIF(M27:AC27,"✓")</f>
        <v>2</v>
      </c>
      <c r="M27" s="136" t="s">
        <v>32</v>
      </c>
      <c r="N27" s="122"/>
      <c r="O27" s="119"/>
      <c r="P27" s="14"/>
      <c r="Q27" s="14" t="s">
        <v>32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 ht="22" customHeight="1" x14ac:dyDescent="0.2">
      <c r="A28" s="107" t="s">
        <v>90</v>
      </c>
      <c r="B28" s="108" t="s">
        <v>2</v>
      </c>
      <c r="C28" s="108" t="s">
        <v>3</v>
      </c>
      <c r="D28" s="107" t="s">
        <v>91</v>
      </c>
      <c r="E28" s="109" t="s">
        <v>30</v>
      </c>
      <c r="F28" s="110">
        <v>2.8587962962962963E-3</v>
      </c>
      <c r="G28" s="107" t="s">
        <v>36</v>
      </c>
      <c r="H28" s="107"/>
      <c r="I28" s="107" t="s">
        <v>32</v>
      </c>
      <c r="J28" s="107" t="s">
        <v>56</v>
      </c>
      <c r="K28" s="115"/>
      <c r="L28" s="138">
        <f>COUNTIF(M28:AC28,"✓")</f>
        <v>5</v>
      </c>
      <c r="M28" s="135" t="s">
        <v>32</v>
      </c>
      <c r="N28" s="123" t="s">
        <v>32</v>
      </c>
      <c r="O28" s="118" t="s">
        <v>32</v>
      </c>
      <c r="P28" s="107"/>
      <c r="Q28" s="107" t="s">
        <v>32</v>
      </c>
      <c r="R28" s="107" t="s">
        <v>32</v>
      </c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</row>
    <row r="29" spans="1:29" ht="22" customHeight="1" x14ac:dyDescent="0.2">
      <c r="A29" s="14" t="s">
        <v>92</v>
      </c>
      <c r="B29" s="15" t="s">
        <v>2</v>
      </c>
      <c r="C29" s="15" t="s">
        <v>3</v>
      </c>
      <c r="D29" s="14" t="s">
        <v>93</v>
      </c>
      <c r="E29" s="13" t="s">
        <v>30</v>
      </c>
      <c r="F29" s="62">
        <v>2.0486111111111113E-3</v>
      </c>
      <c r="G29" s="14" t="s">
        <v>36</v>
      </c>
      <c r="H29" s="14"/>
      <c r="I29" s="14" t="s">
        <v>32</v>
      </c>
      <c r="J29" s="14" t="s">
        <v>33</v>
      </c>
      <c r="K29" s="116"/>
      <c r="L29" s="137">
        <f>COUNTIF(M29:AC29,"✓")</f>
        <v>12</v>
      </c>
      <c r="M29" s="136" t="s">
        <v>32</v>
      </c>
      <c r="N29" s="120"/>
      <c r="O29" s="119"/>
      <c r="P29" s="14"/>
      <c r="Q29" s="14" t="s">
        <v>32</v>
      </c>
      <c r="R29" s="14" t="s">
        <v>32</v>
      </c>
      <c r="S29" s="14"/>
      <c r="T29" s="14" t="s">
        <v>32</v>
      </c>
      <c r="U29" s="14" t="s">
        <v>32</v>
      </c>
      <c r="V29" s="14" t="s">
        <v>32</v>
      </c>
      <c r="W29" s="14" t="s">
        <v>32</v>
      </c>
      <c r="X29" s="14" t="s">
        <v>32</v>
      </c>
      <c r="Y29" s="14" t="s">
        <v>32</v>
      </c>
      <c r="Z29" s="14" t="s">
        <v>32</v>
      </c>
      <c r="AA29" s="14" t="s">
        <v>32</v>
      </c>
      <c r="AB29" s="14" t="s">
        <v>32</v>
      </c>
      <c r="AC29" s="14"/>
    </row>
    <row r="30" spans="1:29" ht="22" customHeight="1" x14ac:dyDescent="0.2">
      <c r="A30" s="107" t="s">
        <v>94</v>
      </c>
      <c r="B30" s="108" t="s">
        <v>2</v>
      </c>
      <c r="C30" s="108" t="s">
        <v>3</v>
      </c>
      <c r="D30" s="107" t="s">
        <v>95</v>
      </c>
      <c r="E30" s="109" t="s">
        <v>30</v>
      </c>
      <c r="F30" s="110">
        <v>3.5995370370370369E-3</v>
      </c>
      <c r="G30" s="107" t="s">
        <v>39</v>
      </c>
      <c r="H30" s="107"/>
      <c r="I30" s="107" t="s">
        <v>32</v>
      </c>
      <c r="J30" s="107" t="s">
        <v>33</v>
      </c>
      <c r="K30" s="115"/>
      <c r="L30" s="138">
        <f>COUNTIF(M30:AC30,"✓")</f>
        <v>15</v>
      </c>
      <c r="M30" s="135" t="s">
        <v>32</v>
      </c>
      <c r="N30" s="123" t="s">
        <v>32</v>
      </c>
      <c r="O30" s="118" t="s">
        <v>32</v>
      </c>
      <c r="P30" s="107" t="s">
        <v>32</v>
      </c>
      <c r="Q30" s="107" t="s">
        <v>32</v>
      </c>
      <c r="R30" s="107" t="s">
        <v>32</v>
      </c>
      <c r="S30" s="107" t="s">
        <v>32</v>
      </c>
      <c r="T30" s="107" t="s">
        <v>32</v>
      </c>
      <c r="U30" s="107" t="s">
        <v>32</v>
      </c>
      <c r="V30" s="107" t="s">
        <v>32</v>
      </c>
      <c r="W30" s="107" t="s">
        <v>32</v>
      </c>
      <c r="X30" s="107" t="s">
        <v>32</v>
      </c>
      <c r="Y30" s="107" t="s">
        <v>32</v>
      </c>
      <c r="Z30" s="107" t="s">
        <v>32</v>
      </c>
      <c r="AA30" s="107" t="s">
        <v>32</v>
      </c>
      <c r="AB30" s="107"/>
      <c r="AC30" s="107"/>
    </row>
    <row r="31" spans="1:29" ht="22" customHeight="1" x14ac:dyDescent="0.2">
      <c r="A31" s="14" t="s">
        <v>96</v>
      </c>
      <c r="B31" s="15" t="s">
        <v>2</v>
      </c>
      <c r="C31" s="15" t="s">
        <v>3</v>
      </c>
      <c r="D31" s="14" t="s">
        <v>42</v>
      </c>
      <c r="E31" s="13" t="s">
        <v>30</v>
      </c>
      <c r="F31" s="62">
        <v>1.9675925925925924E-3</v>
      </c>
      <c r="G31" s="14" t="s">
        <v>48</v>
      </c>
      <c r="H31" s="13" t="s">
        <v>32</v>
      </c>
      <c r="I31" s="14"/>
      <c r="J31" s="14" t="s">
        <v>43</v>
      </c>
      <c r="K31" s="116"/>
      <c r="L31" s="137">
        <f>COUNTIF(M31:AC31,"✓")</f>
        <v>2</v>
      </c>
      <c r="M31" s="136"/>
      <c r="N31" s="120"/>
      <c r="O31" s="119"/>
      <c r="P31" s="14"/>
      <c r="Q31" s="14"/>
      <c r="R31" s="14"/>
      <c r="S31" s="14"/>
      <c r="T31" s="14"/>
      <c r="U31" s="14"/>
      <c r="V31" s="14"/>
      <c r="W31" s="14"/>
      <c r="X31" s="14" t="s">
        <v>32</v>
      </c>
      <c r="Y31" s="14"/>
      <c r="Z31" s="14"/>
      <c r="AA31" s="14"/>
      <c r="AB31" s="14"/>
      <c r="AC31" s="14" t="s">
        <v>32</v>
      </c>
    </row>
    <row r="32" spans="1:29" ht="22" customHeight="1" x14ac:dyDescent="0.2">
      <c r="A32" s="107" t="s">
        <v>97</v>
      </c>
      <c r="B32" s="108" t="s">
        <v>2</v>
      </c>
      <c r="C32" s="108" t="s">
        <v>3</v>
      </c>
      <c r="D32" s="107" t="s">
        <v>98</v>
      </c>
      <c r="E32" s="109" t="s">
        <v>30</v>
      </c>
      <c r="F32" s="110">
        <v>3.2291666666666666E-3</v>
      </c>
      <c r="G32" s="107" t="s">
        <v>31</v>
      </c>
      <c r="H32" s="107"/>
      <c r="I32" s="107" t="s">
        <v>32</v>
      </c>
      <c r="J32" s="107" t="s">
        <v>33</v>
      </c>
      <c r="K32" s="115"/>
      <c r="L32" s="138">
        <f>COUNTIF(M32:AC32,"✓")</f>
        <v>7</v>
      </c>
      <c r="M32" s="135" t="s">
        <v>32</v>
      </c>
      <c r="N32" s="121"/>
      <c r="O32" s="118"/>
      <c r="P32" s="107"/>
      <c r="Q32" s="107" t="s">
        <v>32</v>
      </c>
      <c r="R32" s="107"/>
      <c r="S32" s="107"/>
      <c r="T32" s="107" t="s">
        <v>32</v>
      </c>
      <c r="U32" s="107"/>
      <c r="V32" s="107"/>
      <c r="W32" s="107"/>
      <c r="X32" s="107" t="s">
        <v>32</v>
      </c>
      <c r="Y32" s="107" t="s">
        <v>32</v>
      </c>
      <c r="Z32" s="107" t="s">
        <v>32</v>
      </c>
      <c r="AA32" s="107" t="s">
        <v>32</v>
      </c>
      <c r="AB32" s="107"/>
      <c r="AC32" s="107"/>
    </row>
    <row r="33" spans="1:29" ht="22" customHeight="1" x14ac:dyDescent="0.2">
      <c r="A33" s="14" t="s">
        <v>99</v>
      </c>
      <c r="B33" s="15" t="s">
        <v>2</v>
      </c>
      <c r="C33" s="15" t="s">
        <v>3</v>
      </c>
      <c r="D33" s="14" t="s">
        <v>100</v>
      </c>
      <c r="E33" s="13" t="s">
        <v>59</v>
      </c>
      <c r="F33" s="62">
        <v>2.9513888888888888E-3</v>
      </c>
      <c r="G33" s="14" t="s">
        <v>39</v>
      </c>
      <c r="H33" s="14"/>
      <c r="I33" s="14" t="s">
        <v>32</v>
      </c>
      <c r="J33" s="14" t="s">
        <v>69</v>
      </c>
      <c r="K33" s="116"/>
      <c r="L33" s="137">
        <f>COUNTIF(M33:AC33,"✓")</f>
        <v>12</v>
      </c>
      <c r="M33" s="136" t="s">
        <v>32</v>
      </c>
      <c r="N33" s="122" t="s">
        <v>32</v>
      </c>
      <c r="O33" s="119" t="s">
        <v>32</v>
      </c>
      <c r="P33" s="14" t="s">
        <v>32</v>
      </c>
      <c r="Q33" s="14" t="s">
        <v>32</v>
      </c>
      <c r="R33" s="14" t="s">
        <v>32</v>
      </c>
      <c r="S33" s="14" t="s">
        <v>32</v>
      </c>
      <c r="T33" s="14" t="s">
        <v>32</v>
      </c>
      <c r="U33" s="14" t="s">
        <v>32</v>
      </c>
      <c r="V33" s="14" t="s">
        <v>32</v>
      </c>
      <c r="W33" s="14" t="s">
        <v>32</v>
      </c>
      <c r="X33" s="14" t="s">
        <v>32</v>
      </c>
      <c r="Y33" s="14"/>
      <c r="Z33" s="14"/>
      <c r="AA33" s="14"/>
      <c r="AB33" s="14"/>
      <c r="AC33" s="14"/>
    </row>
    <row r="34" spans="1:29" ht="22" customHeight="1" x14ac:dyDescent="0.2">
      <c r="A34" s="107" t="s">
        <v>101</v>
      </c>
      <c r="B34" s="108" t="s">
        <v>2</v>
      </c>
      <c r="C34" s="108" t="s">
        <v>3</v>
      </c>
      <c r="D34" s="107" t="s">
        <v>102</v>
      </c>
      <c r="E34" s="109" t="s">
        <v>30</v>
      </c>
      <c r="F34" s="110">
        <v>4.1319444444444442E-3</v>
      </c>
      <c r="G34" s="107" t="s">
        <v>31</v>
      </c>
      <c r="H34" s="107"/>
      <c r="I34" s="107"/>
      <c r="J34" s="107" t="s">
        <v>33</v>
      </c>
      <c r="K34" s="115"/>
      <c r="L34" s="138">
        <f>COUNTIF(M34:AC34,"✓")</f>
        <v>8</v>
      </c>
      <c r="M34" s="135"/>
      <c r="N34" s="121"/>
      <c r="O34" s="118"/>
      <c r="P34" s="107"/>
      <c r="Q34" s="107" t="s">
        <v>32</v>
      </c>
      <c r="R34" s="107"/>
      <c r="S34" s="107" t="s">
        <v>32</v>
      </c>
      <c r="T34" s="107" t="s">
        <v>32</v>
      </c>
      <c r="U34" s="107" t="s">
        <v>32</v>
      </c>
      <c r="V34" s="107"/>
      <c r="W34" s="107"/>
      <c r="X34" s="107" t="s">
        <v>32</v>
      </c>
      <c r="Y34" s="107" t="s">
        <v>32</v>
      </c>
      <c r="Z34" s="107"/>
      <c r="AA34" s="107" t="s">
        <v>32</v>
      </c>
      <c r="AB34" s="107" t="s">
        <v>32</v>
      </c>
      <c r="AC34" s="107"/>
    </row>
    <row r="35" spans="1:29" ht="22" customHeight="1" x14ac:dyDescent="0.2">
      <c r="A35" s="14" t="s">
        <v>103</v>
      </c>
      <c r="B35" s="15" t="s">
        <v>2</v>
      </c>
      <c r="C35" s="15" t="s">
        <v>3</v>
      </c>
      <c r="D35" s="14" t="s">
        <v>53</v>
      </c>
      <c r="E35" s="13" t="s">
        <v>30</v>
      </c>
      <c r="F35" s="62">
        <v>5.9606481481481481E-3</v>
      </c>
      <c r="G35" s="14" t="s">
        <v>31</v>
      </c>
      <c r="H35" s="14"/>
      <c r="I35" s="14" t="s">
        <v>32</v>
      </c>
      <c r="J35" s="14" t="s">
        <v>56</v>
      </c>
      <c r="K35" s="116"/>
      <c r="L35" s="137">
        <f>COUNTIF(M35:AC35,"✓")</f>
        <v>9</v>
      </c>
      <c r="M35" s="136" t="s">
        <v>32</v>
      </c>
      <c r="N35" s="120"/>
      <c r="O35" s="119"/>
      <c r="P35" s="14"/>
      <c r="Q35" s="14" t="s">
        <v>32</v>
      </c>
      <c r="R35" s="14"/>
      <c r="S35" s="14"/>
      <c r="T35" s="14" t="s">
        <v>32</v>
      </c>
      <c r="U35" s="14" t="s">
        <v>32</v>
      </c>
      <c r="V35" s="14" t="s">
        <v>32</v>
      </c>
      <c r="W35" s="14"/>
      <c r="X35" s="14" t="s">
        <v>32</v>
      </c>
      <c r="Y35" s="14" t="s">
        <v>32</v>
      </c>
      <c r="Z35" s="14"/>
      <c r="AA35" s="14" t="s">
        <v>32</v>
      </c>
      <c r="AB35" s="14" t="s">
        <v>32</v>
      </c>
      <c r="AC35" s="14"/>
    </row>
    <row r="36" spans="1:29" ht="22" customHeight="1" x14ac:dyDescent="0.2">
      <c r="A36" s="107" t="s">
        <v>104</v>
      </c>
      <c r="B36" s="108" t="s">
        <v>2</v>
      </c>
      <c r="C36" s="108" t="s">
        <v>3</v>
      </c>
      <c r="D36" s="107" t="s">
        <v>105</v>
      </c>
      <c r="E36" s="109" t="s">
        <v>30</v>
      </c>
      <c r="F36" s="110">
        <v>2.4305555555555556E-3</v>
      </c>
      <c r="G36" s="107" t="s">
        <v>36</v>
      </c>
      <c r="H36" s="107"/>
      <c r="I36" s="107"/>
      <c r="J36" s="107" t="s">
        <v>40</v>
      </c>
      <c r="K36" s="115"/>
      <c r="L36" s="138">
        <f>COUNTIF(M36:AC36,"✓")</f>
        <v>4</v>
      </c>
      <c r="M36" s="135"/>
      <c r="N36" s="121"/>
      <c r="O36" s="118" t="s">
        <v>32</v>
      </c>
      <c r="P36" s="107"/>
      <c r="Q36" s="107"/>
      <c r="R36" s="107"/>
      <c r="S36" s="107"/>
      <c r="T36" s="107"/>
      <c r="U36" s="107"/>
      <c r="V36" s="107"/>
      <c r="W36" s="107"/>
      <c r="X36" s="107" t="s">
        <v>32</v>
      </c>
      <c r="Y36" s="107" t="s">
        <v>32</v>
      </c>
      <c r="Z36" s="107"/>
      <c r="AA36" s="107"/>
      <c r="AB36" s="107" t="s">
        <v>32</v>
      </c>
      <c r="AC36" s="107"/>
    </row>
    <row r="37" spans="1:29" ht="22" customHeight="1" x14ac:dyDescent="0.2">
      <c r="A37" s="14" t="s">
        <v>106</v>
      </c>
      <c r="B37" s="15" t="s">
        <v>2</v>
      </c>
      <c r="C37" s="15" t="s">
        <v>3</v>
      </c>
      <c r="D37" s="14" t="s">
        <v>107</v>
      </c>
      <c r="E37" s="13" t="s">
        <v>59</v>
      </c>
      <c r="F37" s="62">
        <v>3.3680555555555556E-3</v>
      </c>
      <c r="G37" s="14" t="s">
        <v>36</v>
      </c>
      <c r="H37" s="14"/>
      <c r="I37" s="14" t="s">
        <v>32</v>
      </c>
      <c r="J37" s="14" t="s">
        <v>56</v>
      </c>
      <c r="K37" s="116"/>
      <c r="L37" s="137">
        <f>COUNTIF(M37:AC37,"✓")</f>
        <v>9</v>
      </c>
      <c r="M37" s="136" t="s">
        <v>32</v>
      </c>
      <c r="N37" s="122" t="s">
        <v>32</v>
      </c>
      <c r="O37" s="119" t="s">
        <v>32</v>
      </c>
      <c r="P37" s="14"/>
      <c r="Q37" s="14" t="s">
        <v>32</v>
      </c>
      <c r="R37" s="14" t="s">
        <v>32</v>
      </c>
      <c r="S37" s="14" t="s">
        <v>32</v>
      </c>
      <c r="T37" s="14" t="s">
        <v>32</v>
      </c>
      <c r="U37" s="14" t="s">
        <v>32</v>
      </c>
      <c r="V37" s="14" t="s">
        <v>32</v>
      </c>
      <c r="W37" s="14"/>
      <c r="X37" s="14"/>
      <c r="Y37" s="14"/>
      <c r="Z37" s="14"/>
      <c r="AA37" s="14"/>
      <c r="AB37" s="14"/>
      <c r="AC37" s="14"/>
    </row>
    <row r="38" spans="1:29" ht="22" customHeight="1" x14ac:dyDescent="0.2">
      <c r="A38" s="107" t="s">
        <v>108</v>
      </c>
      <c r="B38" s="108" t="s">
        <v>2</v>
      </c>
      <c r="C38" s="108" t="s">
        <v>3</v>
      </c>
      <c r="D38" s="107" t="s">
        <v>109</v>
      </c>
      <c r="E38" s="109" t="s">
        <v>30</v>
      </c>
      <c r="F38" s="110">
        <v>2.6041666666666665E-3</v>
      </c>
      <c r="G38" s="107" t="s">
        <v>36</v>
      </c>
      <c r="H38" s="107"/>
      <c r="I38" s="107" t="s">
        <v>32</v>
      </c>
      <c r="J38" s="107" t="s">
        <v>40</v>
      </c>
      <c r="K38" s="115"/>
      <c r="L38" s="138">
        <f>COUNTIF(M38:AC38,"✓")</f>
        <v>5</v>
      </c>
      <c r="M38" s="135" t="s">
        <v>32</v>
      </c>
      <c r="N38" s="123" t="s">
        <v>32</v>
      </c>
      <c r="O38" s="118" t="s">
        <v>32</v>
      </c>
      <c r="P38" s="107" t="s">
        <v>32</v>
      </c>
      <c r="Q38" s="107" t="s">
        <v>32</v>
      </c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</row>
    <row r="39" spans="1:29" ht="22" customHeight="1" x14ac:dyDescent="0.2">
      <c r="A39" s="14" t="s">
        <v>110</v>
      </c>
      <c r="B39" s="15" t="s">
        <v>2</v>
      </c>
      <c r="C39" s="15" t="s">
        <v>3</v>
      </c>
      <c r="D39" s="14" t="s">
        <v>111</v>
      </c>
      <c r="E39" s="13" t="s">
        <v>30</v>
      </c>
      <c r="F39" s="62">
        <v>3.472222222222222E-3</v>
      </c>
      <c r="G39" s="14" t="s">
        <v>112</v>
      </c>
      <c r="H39" s="14"/>
      <c r="I39" s="14"/>
      <c r="J39" s="14" t="s">
        <v>43</v>
      </c>
      <c r="K39" s="116"/>
      <c r="L39" s="137">
        <f>COUNTIF(M39:AC39,"✓")</f>
        <v>2</v>
      </c>
      <c r="M39" s="136"/>
      <c r="N39" s="120"/>
      <c r="O39" s="119"/>
      <c r="P39" s="14"/>
      <c r="Q39" s="14"/>
      <c r="R39" s="14"/>
      <c r="S39" s="14"/>
      <c r="T39" s="14"/>
      <c r="U39" s="14"/>
      <c r="V39" s="14"/>
      <c r="W39" s="14"/>
      <c r="X39" s="14" t="s">
        <v>32</v>
      </c>
      <c r="Y39" s="14" t="s">
        <v>32</v>
      </c>
      <c r="Z39" s="14"/>
      <c r="AA39" s="14"/>
      <c r="AB39" s="14"/>
      <c r="AC39" s="14"/>
    </row>
    <row r="40" spans="1:29" ht="22" customHeight="1" x14ac:dyDescent="0.2">
      <c r="A40" s="107" t="s">
        <v>113</v>
      </c>
      <c r="B40" s="108" t="s">
        <v>2</v>
      </c>
      <c r="C40" s="108" t="s">
        <v>3</v>
      </c>
      <c r="D40" s="107" t="s">
        <v>98</v>
      </c>
      <c r="E40" s="109" t="s">
        <v>30</v>
      </c>
      <c r="F40" s="110">
        <v>2.0023148148148148E-3</v>
      </c>
      <c r="G40" s="107" t="s">
        <v>31</v>
      </c>
      <c r="H40" s="107"/>
      <c r="I40" s="107"/>
      <c r="J40" s="107" t="s">
        <v>33</v>
      </c>
      <c r="K40" s="115"/>
      <c r="L40" s="138">
        <f>COUNTIF(M40:AC40,"✓")</f>
        <v>1</v>
      </c>
      <c r="M40" s="135"/>
      <c r="N40" s="121"/>
      <c r="O40" s="118"/>
      <c r="P40" s="107"/>
      <c r="Q40" s="107"/>
      <c r="R40" s="107" t="s">
        <v>32</v>
      </c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</row>
    <row r="41" spans="1:29" ht="22" customHeight="1" x14ac:dyDescent="0.2">
      <c r="A41" s="14" t="s">
        <v>114</v>
      </c>
      <c r="B41" s="15" t="s">
        <v>2</v>
      </c>
      <c r="C41" s="15" t="s">
        <v>3</v>
      </c>
      <c r="D41" s="14" t="s">
        <v>115</v>
      </c>
      <c r="E41" s="13" t="s">
        <v>30</v>
      </c>
      <c r="F41" s="62">
        <v>3.460648148148148E-3</v>
      </c>
      <c r="G41" s="14" t="s">
        <v>36</v>
      </c>
      <c r="H41" s="14"/>
      <c r="I41" s="14" t="s">
        <v>32</v>
      </c>
      <c r="J41" s="14" t="s">
        <v>69</v>
      </c>
      <c r="K41" s="116"/>
      <c r="L41" s="137">
        <f>COUNTIF(M41:AC41,"✓")</f>
        <v>3</v>
      </c>
      <c r="M41" s="136"/>
      <c r="N41" s="120"/>
      <c r="O41" s="119"/>
      <c r="P41" s="14"/>
      <c r="Q41" s="14" t="s">
        <v>32</v>
      </c>
      <c r="R41" s="14"/>
      <c r="S41" s="14"/>
      <c r="T41" s="14" t="s">
        <v>32</v>
      </c>
      <c r="U41" s="14" t="s">
        <v>32</v>
      </c>
      <c r="V41" s="14"/>
      <c r="W41" s="14"/>
      <c r="X41" s="14"/>
      <c r="Y41" s="14"/>
      <c r="Z41" s="14"/>
      <c r="AA41" s="14"/>
      <c r="AB41" s="14"/>
      <c r="AC41" s="14"/>
    </row>
    <row r="42" spans="1:29" ht="22" customHeight="1" x14ac:dyDescent="0.2">
      <c r="A42" s="107" t="s">
        <v>116</v>
      </c>
      <c r="B42" s="108" t="s">
        <v>2</v>
      </c>
      <c r="C42" s="108" t="s">
        <v>3</v>
      </c>
      <c r="D42" s="107" t="s">
        <v>117</v>
      </c>
      <c r="E42" s="109" t="s">
        <v>30</v>
      </c>
      <c r="F42" s="110">
        <v>2.2569444444444442E-3</v>
      </c>
      <c r="G42" s="107" t="s">
        <v>36</v>
      </c>
      <c r="H42" s="107"/>
      <c r="I42" s="107" t="s">
        <v>32</v>
      </c>
      <c r="J42" s="107" t="s">
        <v>33</v>
      </c>
      <c r="K42" s="115"/>
      <c r="L42" s="138">
        <f>COUNTIF(M42:AC42,"✓")</f>
        <v>6</v>
      </c>
      <c r="M42" s="135" t="s">
        <v>32</v>
      </c>
      <c r="N42" s="121"/>
      <c r="O42" s="118"/>
      <c r="P42" s="107"/>
      <c r="Q42" s="107" t="s">
        <v>32</v>
      </c>
      <c r="R42" s="107" t="s">
        <v>32</v>
      </c>
      <c r="S42" s="107"/>
      <c r="T42" s="107" t="s">
        <v>32</v>
      </c>
      <c r="U42" s="107" t="s">
        <v>32</v>
      </c>
      <c r="V42" s="107" t="s">
        <v>32</v>
      </c>
      <c r="W42" s="107"/>
      <c r="X42" s="107"/>
      <c r="Y42" s="107"/>
      <c r="Z42" s="107"/>
      <c r="AA42" s="107"/>
      <c r="AB42" s="107"/>
      <c r="AC42" s="107"/>
    </row>
    <row r="43" spans="1:29" ht="22" customHeight="1" x14ac:dyDescent="0.2">
      <c r="A43" s="14" t="s">
        <v>118</v>
      </c>
      <c r="B43" s="15" t="s">
        <v>2</v>
      </c>
      <c r="C43" s="15" t="s">
        <v>3</v>
      </c>
      <c r="D43" s="14" t="s">
        <v>119</v>
      </c>
      <c r="E43" s="13" t="s">
        <v>30</v>
      </c>
      <c r="F43" s="62">
        <v>3.472222222222222E-3</v>
      </c>
      <c r="G43" s="14" t="s">
        <v>36</v>
      </c>
      <c r="H43" s="14"/>
      <c r="I43" s="14"/>
      <c r="J43" s="14" t="s">
        <v>43</v>
      </c>
      <c r="K43" s="116"/>
      <c r="L43" s="137">
        <f>COUNTIF(M43:AC43,"✓")</f>
        <v>2</v>
      </c>
      <c r="M43" s="136"/>
      <c r="N43" s="120"/>
      <c r="O43" s="119"/>
      <c r="P43" s="14"/>
      <c r="Q43" s="14" t="s">
        <v>32</v>
      </c>
      <c r="R43" s="14"/>
      <c r="S43" s="14"/>
      <c r="T43" s="14"/>
      <c r="U43" s="14"/>
      <c r="V43" s="14"/>
      <c r="W43" s="14"/>
      <c r="X43" s="14" t="s">
        <v>32</v>
      </c>
      <c r="Y43" s="14"/>
      <c r="Z43" s="14"/>
      <c r="AA43" s="14"/>
      <c r="AB43" s="14"/>
      <c r="AC43" s="14"/>
    </row>
    <row r="44" spans="1:29" ht="22" customHeight="1" x14ac:dyDescent="0.2">
      <c r="A44" s="107" t="s">
        <v>120</v>
      </c>
      <c r="B44" s="108" t="s">
        <v>2</v>
      </c>
      <c r="C44" s="108" t="s">
        <v>3</v>
      </c>
      <c r="D44" s="107" t="s">
        <v>53</v>
      </c>
      <c r="E44" s="109" t="s">
        <v>30</v>
      </c>
      <c r="F44" s="110">
        <v>2.0833333333333333E-3</v>
      </c>
      <c r="G44" s="107" t="s">
        <v>31</v>
      </c>
      <c r="H44" s="107"/>
      <c r="I44" s="107" t="s">
        <v>32</v>
      </c>
      <c r="J44" s="107" t="s">
        <v>33</v>
      </c>
      <c r="K44" s="115"/>
      <c r="L44" s="138">
        <f>COUNTIF(M44:AC44,"✓")</f>
        <v>5</v>
      </c>
      <c r="M44" s="135" t="s">
        <v>32</v>
      </c>
      <c r="N44" s="121"/>
      <c r="O44" s="118"/>
      <c r="P44" s="107"/>
      <c r="Q44" s="107"/>
      <c r="R44" s="107" t="s">
        <v>32</v>
      </c>
      <c r="S44" s="107" t="s">
        <v>32</v>
      </c>
      <c r="T44" s="107" t="s">
        <v>32</v>
      </c>
      <c r="U44" s="107"/>
      <c r="V44" s="107" t="s">
        <v>32</v>
      </c>
      <c r="W44" s="107"/>
      <c r="X44" s="107"/>
      <c r="Y44" s="107"/>
      <c r="Z44" s="107"/>
      <c r="AA44" s="107"/>
      <c r="AB44" s="107"/>
      <c r="AC44" s="107"/>
    </row>
    <row r="45" spans="1:29" ht="22" customHeight="1" x14ac:dyDescent="0.2">
      <c r="A45" s="14" t="s">
        <v>121</v>
      </c>
      <c r="B45" s="15" t="s">
        <v>2</v>
      </c>
      <c r="C45" s="15" t="s">
        <v>3</v>
      </c>
      <c r="D45" s="14" t="s">
        <v>122</v>
      </c>
      <c r="E45" s="13" t="s">
        <v>30</v>
      </c>
      <c r="F45" s="62">
        <v>3.1250000000000002E-3</v>
      </c>
      <c r="G45" s="14" t="s">
        <v>31</v>
      </c>
      <c r="H45" s="14"/>
      <c r="I45" s="14"/>
      <c r="J45" s="14" t="s">
        <v>33</v>
      </c>
      <c r="K45" s="116" t="s">
        <v>32</v>
      </c>
      <c r="L45" s="137">
        <f>COUNTIF(M45:AC45,"✓")</f>
        <v>0</v>
      </c>
      <c r="M45" s="136"/>
      <c r="N45" s="120"/>
      <c r="O45" s="119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 spans="1:29" ht="22" customHeight="1" x14ac:dyDescent="0.2">
      <c r="A46" s="107" t="s">
        <v>123</v>
      </c>
      <c r="B46" s="108" t="s">
        <v>2</v>
      </c>
      <c r="C46" s="108" t="s">
        <v>3</v>
      </c>
      <c r="D46" s="107" t="s">
        <v>93</v>
      </c>
      <c r="E46" s="109" t="s">
        <v>30</v>
      </c>
      <c r="F46" s="110">
        <v>3.3217592592592591E-3</v>
      </c>
      <c r="G46" s="107" t="s">
        <v>36</v>
      </c>
      <c r="H46" s="107"/>
      <c r="I46" s="107" t="s">
        <v>32</v>
      </c>
      <c r="J46" s="107" t="s">
        <v>33</v>
      </c>
      <c r="K46" s="115"/>
      <c r="L46" s="138">
        <f>COUNTIF(M46:AC46,"✓")</f>
        <v>17</v>
      </c>
      <c r="M46" s="135" t="s">
        <v>32</v>
      </c>
      <c r="N46" s="123" t="s">
        <v>32</v>
      </c>
      <c r="O46" s="118" t="s">
        <v>32</v>
      </c>
      <c r="P46" s="107" t="s">
        <v>32</v>
      </c>
      <c r="Q46" s="107" t="s">
        <v>32</v>
      </c>
      <c r="R46" s="107" t="s">
        <v>32</v>
      </c>
      <c r="S46" s="107" t="s">
        <v>32</v>
      </c>
      <c r="T46" s="107" t="s">
        <v>32</v>
      </c>
      <c r="U46" s="107" t="s">
        <v>32</v>
      </c>
      <c r="V46" s="107" t="s">
        <v>32</v>
      </c>
      <c r="W46" s="107" t="s">
        <v>32</v>
      </c>
      <c r="X46" s="107" t="s">
        <v>32</v>
      </c>
      <c r="Y46" s="107" t="s">
        <v>32</v>
      </c>
      <c r="Z46" s="107" t="s">
        <v>32</v>
      </c>
      <c r="AA46" s="107" t="s">
        <v>32</v>
      </c>
      <c r="AB46" s="107" t="s">
        <v>32</v>
      </c>
      <c r="AC46" s="107" t="s">
        <v>32</v>
      </c>
    </row>
    <row r="47" spans="1:29" ht="22" customHeight="1" x14ac:dyDescent="0.2">
      <c r="A47" s="14" t="s">
        <v>124</v>
      </c>
      <c r="B47" s="45"/>
      <c r="C47" s="45"/>
      <c r="D47" s="14" t="s">
        <v>125</v>
      </c>
      <c r="E47" s="13" t="s">
        <v>30</v>
      </c>
      <c r="F47" s="62"/>
      <c r="G47" s="14" t="s">
        <v>126</v>
      </c>
      <c r="H47" s="14"/>
      <c r="I47" s="14"/>
      <c r="J47" s="14" t="s">
        <v>33</v>
      </c>
      <c r="K47" s="116"/>
      <c r="L47" s="137">
        <f>COUNTIF(M47:AC47,"✓")</f>
        <v>1</v>
      </c>
      <c r="M47" s="136"/>
      <c r="N47" s="120"/>
      <c r="O47" s="119"/>
      <c r="P47" s="14"/>
      <c r="Q47" s="14"/>
      <c r="R47" s="14"/>
      <c r="S47" s="14" t="s">
        <v>32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1:29" ht="17" customHeight="1" x14ac:dyDescent="0.2">
      <c r="A48" s="107" t="s">
        <v>127</v>
      </c>
      <c r="B48" s="108" t="s">
        <v>2</v>
      </c>
      <c r="C48" s="108" t="s">
        <v>3</v>
      </c>
      <c r="D48" s="107" t="s">
        <v>128</v>
      </c>
      <c r="E48" s="109" t="s">
        <v>30</v>
      </c>
      <c r="F48" s="110">
        <v>2.0949074074074073E-3</v>
      </c>
      <c r="G48" s="107" t="s">
        <v>31</v>
      </c>
      <c r="H48" s="107"/>
      <c r="I48" s="107" t="s">
        <v>32</v>
      </c>
      <c r="J48" s="107" t="s">
        <v>56</v>
      </c>
      <c r="K48" s="115"/>
      <c r="L48" s="138">
        <f>COUNTIF(M48:AC48,"✓")</f>
        <v>11</v>
      </c>
      <c r="M48" s="135" t="s">
        <v>32</v>
      </c>
      <c r="N48" s="123" t="s">
        <v>32</v>
      </c>
      <c r="O48" s="118" t="s">
        <v>32</v>
      </c>
      <c r="P48" s="107"/>
      <c r="Q48" s="107" t="s">
        <v>32</v>
      </c>
      <c r="R48" s="107"/>
      <c r="S48" s="107" t="s">
        <v>32</v>
      </c>
      <c r="T48" s="107" t="s">
        <v>32</v>
      </c>
      <c r="U48" s="107"/>
      <c r="V48" s="107"/>
      <c r="W48" s="107"/>
      <c r="X48" s="107" t="s">
        <v>32</v>
      </c>
      <c r="Y48" s="107" t="s">
        <v>32</v>
      </c>
      <c r="Z48" s="107"/>
      <c r="AA48" s="107" t="s">
        <v>32</v>
      </c>
      <c r="AB48" s="107" t="s">
        <v>32</v>
      </c>
      <c r="AC48" s="107" t="s">
        <v>32</v>
      </c>
    </row>
    <row r="49" spans="1:29" x14ac:dyDescent="0.2">
      <c r="A49" s="12"/>
      <c r="B49" s="12"/>
      <c r="C49" s="12"/>
      <c r="D49" s="46"/>
      <c r="E49" s="4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</sheetData>
  <hyperlinks>
    <hyperlink ref="N2" location="'2026-05-14 Fat Shallot'!A1" display="2026-05-14_x000a_Fat Shallot" xr:uid="{00000000-0004-0000-0000-000000000000}"/>
    <hyperlink ref="O2" location="'2026-05-02 Lincolnwood'!A1" display="2026-05-02_x000a_Lincolnwood" xr:uid="{00000000-0004-0000-0000-000001000000}"/>
    <hyperlink ref="P2" location="'2026-04-22 Spring Cha Ching'!A1" display="2026-04-22_x000a_Spring Cha Ching" xr:uid="{00000000-0004-0000-0000-000002000000}"/>
    <hyperlink ref="Q2" location="'2026-01-24 Goat Village'!A1" display="2026-01-24_x000a_Goat Village" xr:uid="{00000000-0004-0000-0000-000003000000}"/>
    <hyperlink ref="R2" location="'2025-11-16 Double Clutch'!A1" display="2025-11-16_x000a_Double Clutch" xr:uid="{00000000-0004-0000-0000-000004000000}"/>
    <hyperlink ref="S2" location="'2025-09-06 Block Party'!A1" display="2025-09-06_x000a_Block Party" xr:uid="{00000000-0004-0000-0000-000005000000}"/>
    <hyperlink ref="T2" location="'2025-06-25 American Legion'!A1" display="2025-06-25_x000a_American Legion" xr:uid="{00000000-0004-0000-0000-000006000000}"/>
    <hyperlink ref="U2" location="'2025-06-07 Fat Shallot'!A1" display="2025-06-07_x000a_Fat Shallot" xr:uid="{00000000-0004-0000-0000-000007000000}"/>
    <hyperlink ref="V2" location="'2025-05-03 Lincolnwood'!A1" display="2025-05-03_x000a_Lincolnwood" xr:uid="{00000000-0004-0000-0000-000008000000}"/>
    <hyperlink ref="W2" location="'2024-10-09 Fat Shallot'!A1" display="2024-10-09_x000a_Fat Shallot" xr:uid="{00000000-0004-0000-0000-000009000000}"/>
    <hyperlink ref="X2" location="'2024-09-07 Block Party'!A1" display="2024-09-07_x000a_Block Party" xr:uid="{00000000-0004-0000-0000-00000A000000}"/>
    <hyperlink ref="Y2" location="'2024-08-10 Fat Shallot'!A1" display="2024-08-10_x000a_Fat Shallot" xr:uid="{00000000-0004-0000-0000-00000B000000}"/>
    <hyperlink ref="Z2" location="'2024-07-13 Chicago Union'!A1" display="2024-07-13_x000a_Chicago Union" xr:uid="{00000000-0004-0000-0000-00000C000000}"/>
    <hyperlink ref="AA2" location="'2024-06-08 Fat Shallot'!A1" display="2024-06-08_x000a_Fat Shallot" xr:uid="{00000000-0004-0000-0000-00000D000000}"/>
    <hyperlink ref="AB2" location="'2024-04-27 Lincolnwood'!A1" display="2024-04-27_x000a_Lincolnwood" xr:uid="{00000000-0004-0000-0000-00000E000000}"/>
    <hyperlink ref="AC2" location="'2023-09-09 Block Party'!A1" display="2023-09-09_x000a_Block Party" xr:uid="{00000000-0004-0000-0000-00000F000000}"/>
    <hyperlink ref="B3" r:id="rId1" xr:uid="{00000000-0004-0000-0000-000010000000}"/>
    <hyperlink ref="C3" r:id="rId2" xr:uid="{00000000-0004-0000-0000-000011000000}"/>
    <hyperlink ref="B4" r:id="rId3" xr:uid="{00000000-0004-0000-0000-000012000000}"/>
    <hyperlink ref="C4" r:id="rId4" xr:uid="{00000000-0004-0000-0000-000013000000}"/>
    <hyperlink ref="B6" r:id="rId5" xr:uid="{00000000-0004-0000-0000-000016000000}"/>
    <hyperlink ref="C6" r:id="rId6" xr:uid="{00000000-0004-0000-0000-000017000000}"/>
    <hyperlink ref="B7" r:id="rId7" xr:uid="{00000000-0004-0000-0000-000018000000}"/>
    <hyperlink ref="C7" r:id="rId8" xr:uid="{00000000-0004-0000-0000-000019000000}"/>
    <hyperlink ref="B8" r:id="rId9" xr:uid="{00000000-0004-0000-0000-00001A000000}"/>
    <hyperlink ref="C8" r:id="rId10" xr:uid="{00000000-0004-0000-0000-00001B000000}"/>
    <hyperlink ref="B9" r:id="rId11" xr:uid="{00000000-0004-0000-0000-00001C000000}"/>
    <hyperlink ref="C9" r:id="rId12" xr:uid="{00000000-0004-0000-0000-00001D000000}"/>
    <hyperlink ref="B10" r:id="rId13" xr:uid="{00000000-0004-0000-0000-00001E000000}"/>
    <hyperlink ref="C10" r:id="rId14" xr:uid="{00000000-0004-0000-0000-00001F000000}"/>
    <hyperlink ref="B11" r:id="rId15" xr:uid="{00000000-0004-0000-0000-000020000000}"/>
    <hyperlink ref="C11" r:id="rId16" xr:uid="{00000000-0004-0000-0000-000021000000}"/>
    <hyperlink ref="B12" r:id="rId17" xr:uid="{00000000-0004-0000-0000-000022000000}"/>
    <hyperlink ref="C12" r:id="rId18" xr:uid="{00000000-0004-0000-0000-000023000000}"/>
    <hyperlink ref="B13" r:id="rId19" xr:uid="{00000000-0004-0000-0000-000024000000}"/>
    <hyperlink ref="C13" r:id="rId20" xr:uid="{00000000-0004-0000-0000-000025000000}"/>
    <hyperlink ref="B14" r:id="rId21" xr:uid="{00000000-0004-0000-0000-000026000000}"/>
    <hyperlink ref="C14" r:id="rId22" xr:uid="{00000000-0004-0000-0000-000027000000}"/>
    <hyperlink ref="B15" r:id="rId23" xr:uid="{00000000-0004-0000-0000-000028000000}"/>
    <hyperlink ref="C15" r:id="rId24" xr:uid="{00000000-0004-0000-0000-000029000000}"/>
    <hyperlink ref="B16" r:id="rId25" xr:uid="{00000000-0004-0000-0000-00002A000000}"/>
    <hyperlink ref="C16" r:id="rId26" xr:uid="{00000000-0004-0000-0000-00002B000000}"/>
    <hyperlink ref="B17" r:id="rId27" xr:uid="{00000000-0004-0000-0000-00002C000000}"/>
    <hyperlink ref="C17" r:id="rId28" xr:uid="{00000000-0004-0000-0000-00002D000000}"/>
    <hyperlink ref="B18" r:id="rId29" xr:uid="{00000000-0004-0000-0000-00002E000000}"/>
    <hyperlink ref="C18" r:id="rId30" xr:uid="{00000000-0004-0000-0000-00002F000000}"/>
    <hyperlink ref="B19" r:id="rId31" xr:uid="{00000000-0004-0000-0000-000030000000}"/>
    <hyperlink ref="C19" r:id="rId32" xr:uid="{00000000-0004-0000-0000-000031000000}"/>
    <hyperlink ref="B20" r:id="rId33" xr:uid="{00000000-0004-0000-0000-000032000000}"/>
    <hyperlink ref="C20" r:id="rId34" xr:uid="{00000000-0004-0000-0000-000033000000}"/>
    <hyperlink ref="B21" r:id="rId35" xr:uid="{00000000-0004-0000-0000-000034000000}"/>
    <hyperlink ref="C21" r:id="rId36" xr:uid="{00000000-0004-0000-0000-000035000000}"/>
    <hyperlink ref="B22" r:id="rId37" xr:uid="{00000000-0004-0000-0000-000036000000}"/>
    <hyperlink ref="C22" r:id="rId38" xr:uid="{00000000-0004-0000-0000-000037000000}"/>
    <hyperlink ref="B23" r:id="rId39" xr:uid="{00000000-0004-0000-0000-000038000000}"/>
    <hyperlink ref="C23" r:id="rId40" xr:uid="{00000000-0004-0000-0000-000039000000}"/>
    <hyperlink ref="B24" r:id="rId41" xr:uid="{00000000-0004-0000-0000-00003A000000}"/>
    <hyperlink ref="B25" r:id="rId42" xr:uid="{00000000-0004-0000-0000-00003B000000}"/>
    <hyperlink ref="C25" r:id="rId43" xr:uid="{00000000-0004-0000-0000-00003C000000}"/>
    <hyperlink ref="B26" r:id="rId44" xr:uid="{00000000-0004-0000-0000-00003D000000}"/>
    <hyperlink ref="C26" r:id="rId45" xr:uid="{00000000-0004-0000-0000-00003E000000}"/>
    <hyperlink ref="B27" r:id="rId46" xr:uid="{00000000-0004-0000-0000-00003F000000}"/>
    <hyperlink ref="C27" r:id="rId47" xr:uid="{00000000-0004-0000-0000-000040000000}"/>
    <hyperlink ref="B28" r:id="rId48" xr:uid="{00000000-0004-0000-0000-000041000000}"/>
    <hyperlink ref="C28" r:id="rId49" xr:uid="{00000000-0004-0000-0000-000042000000}"/>
    <hyperlink ref="B29" r:id="rId50" xr:uid="{00000000-0004-0000-0000-000043000000}"/>
    <hyperlink ref="C29" r:id="rId51" xr:uid="{00000000-0004-0000-0000-000044000000}"/>
    <hyperlink ref="B30" r:id="rId52" xr:uid="{00000000-0004-0000-0000-000045000000}"/>
    <hyperlink ref="C30" r:id="rId53" xr:uid="{00000000-0004-0000-0000-000046000000}"/>
    <hyperlink ref="B31" r:id="rId54" xr:uid="{00000000-0004-0000-0000-000047000000}"/>
    <hyperlink ref="C31" r:id="rId55" xr:uid="{00000000-0004-0000-0000-000048000000}"/>
    <hyperlink ref="B32" r:id="rId56" xr:uid="{00000000-0004-0000-0000-000049000000}"/>
    <hyperlink ref="C32" r:id="rId57" xr:uid="{00000000-0004-0000-0000-00004A000000}"/>
    <hyperlink ref="B33" r:id="rId58" xr:uid="{00000000-0004-0000-0000-00004B000000}"/>
    <hyperlink ref="C33" r:id="rId59" xr:uid="{00000000-0004-0000-0000-00004C000000}"/>
    <hyperlink ref="B34" r:id="rId60" xr:uid="{00000000-0004-0000-0000-00004D000000}"/>
    <hyperlink ref="C34" r:id="rId61" xr:uid="{00000000-0004-0000-0000-00004E000000}"/>
    <hyperlink ref="B35" r:id="rId62" xr:uid="{00000000-0004-0000-0000-00004F000000}"/>
    <hyperlink ref="C35" r:id="rId63" xr:uid="{00000000-0004-0000-0000-000050000000}"/>
    <hyperlink ref="B36" r:id="rId64" xr:uid="{00000000-0004-0000-0000-000051000000}"/>
    <hyperlink ref="C36" r:id="rId65" xr:uid="{00000000-0004-0000-0000-000052000000}"/>
    <hyperlink ref="B37" r:id="rId66" xr:uid="{00000000-0004-0000-0000-000053000000}"/>
    <hyperlink ref="C37" r:id="rId67" xr:uid="{00000000-0004-0000-0000-000054000000}"/>
    <hyperlink ref="B38" r:id="rId68" xr:uid="{00000000-0004-0000-0000-000055000000}"/>
    <hyperlink ref="C38" r:id="rId69" xr:uid="{00000000-0004-0000-0000-000056000000}"/>
    <hyperlink ref="B39" r:id="rId70" xr:uid="{00000000-0004-0000-0000-000057000000}"/>
    <hyperlink ref="C39" r:id="rId71" xr:uid="{00000000-0004-0000-0000-000058000000}"/>
    <hyperlink ref="B40" r:id="rId72" xr:uid="{00000000-0004-0000-0000-000059000000}"/>
    <hyperlink ref="C40" r:id="rId73" xr:uid="{00000000-0004-0000-0000-00005A000000}"/>
    <hyperlink ref="B41" r:id="rId74" xr:uid="{00000000-0004-0000-0000-00005B000000}"/>
    <hyperlink ref="C41" r:id="rId75" xr:uid="{00000000-0004-0000-0000-00005C000000}"/>
    <hyperlink ref="B42" r:id="rId76" xr:uid="{00000000-0004-0000-0000-00005D000000}"/>
    <hyperlink ref="C42" r:id="rId77" xr:uid="{00000000-0004-0000-0000-00005E000000}"/>
    <hyperlink ref="B43" r:id="rId78" xr:uid="{00000000-0004-0000-0000-00005F000000}"/>
    <hyperlink ref="C43" r:id="rId79" xr:uid="{00000000-0004-0000-0000-000060000000}"/>
    <hyperlink ref="B44" r:id="rId80" xr:uid="{00000000-0004-0000-0000-000061000000}"/>
    <hyperlink ref="C44" r:id="rId81" xr:uid="{00000000-0004-0000-0000-000062000000}"/>
    <hyperlink ref="B45" r:id="rId82" xr:uid="{00000000-0004-0000-0000-000063000000}"/>
    <hyperlink ref="C45" r:id="rId83" xr:uid="{00000000-0004-0000-0000-000064000000}"/>
    <hyperlink ref="B46" r:id="rId84" xr:uid="{00000000-0004-0000-0000-000065000000}"/>
    <hyperlink ref="C46" r:id="rId85" xr:uid="{00000000-0004-0000-0000-000066000000}"/>
    <hyperlink ref="B48" r:id="rId86" xr:uid="{00000000-0004-0000-0000-000067000000}"/>
    <hyperlink ref="C48" r:id="rId87" xr:uid="{00000000-0004-0000-0000-000068000000}"/>
    <hyperlink ref="B5" r:id="rId88" xr:uid="{EA461231-8E8E-5746-9DF4-72454CC19E36}"/>
    <hyperlink ref="C5" r:id="rId89" xr:uid="{C5ECF11B-005F-3145-827A-22E761430CCB}"/>
    <hyperlink ref="M2" location="'2026-05-16 Fat Shallot'!A1" display="'2026-05-16 Fat Shallot'!A1" xr:uid="{597DD363-3141-A541-AF9D-176342F818C3}"/>
  </hyperlink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workbookViewId="0">
      <pane ySplit="2" topLeftCell="A3" activePane="bottomLeft" state="frozen"/>
      <selection pane="bottomLeft" activeCell="K21" sqref="K21"/>
    </sheetView>
  </sheetViews>
  <sheetFormatPr baseColWidth="10" defaultColWidth="8.83203125" defaultRowHeight="15" x14ac:dyDescent="0.2"/>
  <cols>
    <col min="1" max="1" width="15.83203125" customWidth="1"/>
    <col min="2" max="2" width="10" customWidth="1"/>
    <col min="3" max="3" width="38" customWidth="1"/>
    <col min="4" max="4" width="10" customWidth="1"/>
    <col min="5" max="5" width="14" customWidth="1"/>
    <col min="6" max="6" width="34" customWidth="1"/>
    <col min="7" max="7" width="17" customWidth="1"/>
    <col min="8" max="8" width="33" customWidth="1"/>
    <col min="9" max="9" width="6" customWidth="1"/>
    <col min="10" max="10" width="50" customWidth="1"/>
    <col min="11" max="11" width="8.1640625" style="6" bestFit="1" customWidth="1"/>
  </cols>
  <sheetData>
    <row r="1" spans="1:12" s="2" customFormat="1" ht="28" customHeight="1" thickTop="1" thickBot="1" x14ac:dyDescent="0.25">
      <c r="A1" s="47" t="s">
        <v>129</v>
      </c>
      <c r="B1" s="41"/>
      <c r="C1" s="41"/>
      <c r="D1" s="41"/>
      <c r="E1" s="41"/>
      <c r="F1" s="41"/>
      <c r="G1" s="41"/>
      <c r="H1" s="41"/>
      <c r="I1" s="41"/>
      <c r="J1" s="41"/>
      <c r="K1" s="53"/>
      <c r="L1" s="41"/>
    </row>
    <row r="2" spans="1:12" s="2" customFormat="1" ht="22" customHeight="1" thickTop="1" thickBot="1" x14ac:dyDescent="0.25">
      <c r="A2" s="54" t="s">
        <v>130</v>
      </c>
      <c r="B2" s="55" t="s">
        <v>131</v>
      </c>
      <c r="C2" s="54" t="s">
        <v>132</v>
      </c>
      <c r="D2" s="54" t="s">
        <v>133</v>
      </c>
      <c r="E2" s="54" t="s">
        <v>134</v>
      </c>
      <c r="F2" s="55" t="s">
        <v>135</v>
      </c>
      <c r="G2" s="54" t="s">
        <v>136</v>
      </c>
      <c r="H2" s="54" t="s">
        <v>137</v>
      </c>
      <c r="I2" s="54" t="s">
        <v>138</v>
      </c>
      <c r="J2" s="54" t="s">
        <v>139</v>
      </c>
      <c r="K2" s="56" t="s">
        <v>140</v>
      </c>
      <c r="L2" s="54" t="s">
        <v>141</v>
      </c>
    </row>
    <row r="3" spans="1:12" ht="22" customHeight="1" thickTop="1" x14ac:dyDescent="0.25">
      <c r="A3" s="103" t="s">
        <v>142</v>
      </c>
      <c r="B3" s="17" t="s">
        <v>143</v>
      </c>
      <c r="C3" s="13" t="s">
        <v>144</v>
      </c>
      <c r="D3" s="13" t="s">
        <v>145</v>
      </c>
      <c r="E3" s="13">
        <v>10</v>
      </c>
      <c r="F3" s="17"/>
      <c r="G3" s="13"/>
      <c r="H3" s="13"/>
      <c r="I3" s="13"/>
      <c r="J3" s="13"/>
      <c r="K3" s="57"/>
      <c r="L3" s="13"/>
    </row>
    <row r="4" spans="1:12" ht="22" customHeight="1" x14ac:dyDescent="0.25">
      <c r="A4" s="103" t="s">
        <v>146</v>
      </c>
      <c r="B4" s="18" t="s">
        <v>147</v>
      </c>
      <c r="C4" s="14" t="s">
        <v>148</v>
      </c>
      <c r="D4" s="14" t="s">
        <v>149</v>
      </c>
      <c r="E4" s="14">
        <v>11</v>
      </c>
      <c r="F4" s="18"/>
      <c r="G4" s="14"/>
      <c r="H4" s="14"/>
      <c r="I4" s="14"/>
      <c r="J4" s="14"/>
      <c r="K4" s="58"/>
      <c r="L4" s="14"/>
    </row>
    <row r="5" spans="1:12" ht="22" customHeight="1" x14ac:dyDescent="0.25">
      <c r="A5" s="103" t="s">
        <v>150</v>
      </c>
      <c r="B5" s="18" t="s">
        <v>147</v>
      </c>
      <c r="C5" s="14" t="s">
        <v>151</v>
      </c>
      <c r="D5" s="14"/>
      <c r="E5" s="14">
        <v>16</v>
      </c>
      <c r="F5" s="18"/>
      <c r="G5" s="14" t="s">
        <v>151</v>
      </c>
      <c r="H5" s="14" t="s">
        <v>152</v>
      </c>
      <c r="I5" s="14"/>
      <c r="J5" s="14"/>
      <c r="K5" s="58"/>
      <c r="L5" s="14"/>
    </row>
    <row r="6" spans="1:12" ht="22" customHeight="1" x14ac:dyDescent="0.25">
      <c r="A6" s="103" t="s">
        <v>153</v>
      </c>
      <c r="B6" s="18" t="s">
        <v>147</v>
      </c>
      <c r="C6" s="14" t="s">
        <v>154</v>
      </c>
      <c r="D6" s="14" t="s">
        <v>155</v>
      </c>
      <c r="E6" s="14">
        <v>11</v>
      </c>
      <c r="F6" s="18"/>
      <c r="G6" s="14" t="s">
        <v>156</v>
      </c>
      <c r="H6" s="14" t="s">
        <v>157</v>
      </c>
      <c r="I6" s="14"/>
      <c r="J6" s="14"/>
      <c r="K6" s="58">
        <v>100</v>
      </c>
      <c r="L6" s="14"/>
    </row>
    <row r="7" spans="1:12" ht="22" customHeight="1" x14ac:dyDescent="0.25">
      <c r="A7" s="103" t="s">
        <v>158</v>
      </c>
      <c r="B7" s="18" t="s">
        <v>147</v>
      </c>
      <c r="C7" s="14" t="s">
        <v>151</v>
      </c>
      <c r="D7" s="14"/>
      <c r="E7" s="14">
        <v>21</v>
      </c>
      <c r="F7" s="18"/>
      <c r="G7" s="14" t="s">
        <v>151</v>
      </c>
      <c r="H7" s="14" t="s">
        <v>152</v>
      </c>
      <c r="I7" s="14"/>
      <c r="J7" s="14"/>
      <c r="K7" s="58"/>
      <c r="L7" s="14"/>
    </row>
    <row r="8" spans="1:12" ht="22" customHeight="1" x14ac:dyDescent="0.25">
      <c r="A8" s="103" t="s">
        <v>159</v>
      </c>
      <c r="B8" s="18" t="s">
        <v>143</v>
      </c>
      <c r="C8" s="14" t="s">
        <v>144</v>
      </c>
      <c r="D8" s="14" t="s">
        <v>145</v>
      </c>
      <c r="E8" s="14">
        <v>26</v>
      </c>
      <c r="F8" s="18"/>
      <c r="G8" s="14"/>
      <c r="H8" s="14"/>
      <c r="I8" s="14"/>
      <c r="J8" s="14"/>
      <c r="K8" s="58"/>
      <c r="L8" s="14"/>
    </row>
    <row r="9" spans="1:12" ht="22" customHeight="1" x14ac:dyDescent="0.25">
      <c r="A9" s="103" t="s">
        <v>160</v>
      </c>
      <c r="B9" s="18" t="s">
        <v>147</v>
      </c>
      <c r="C9" s="14" t="s">
        <v>151</v>
      </c>
      <c r="D9" s="14" t="s">
        <v>161</v>
      </c>
      <c r="E9" s="14">
        <v>11</v>
      </c>
      <c r="F9" s="18"/>
      <c r="G9" s="14" t="s">
        <v>151</v>
      </c>
      <c r="H9" s="14" t="s">
        <v>152</v>
      </c>
      <c r="I9" s="14"/>
      <c r="J9" s="14"/>
      <c r="K9" s="58"/>
      <c r="L9" s="14"/>
    </row>
    <row r="10" spans="1:12" ht="22" customHeight="1" x14ac:dyDescent="0.25">
      <c r="A10" s="103" t="s">
        <v>162</v>
      </c>
      <c r="B10" s="18" t="s">
        <v>147</v>
      </c>
      <c r="C10" s="14" t="s">
        <v>148</v>
      </c>
      <c r="D10" s="14" t="s">
        <v>149</v>
      </c>
      <c r="E10" s="14">
        <v>13</v>
      </c>
      <c r="F10" s="18"/>
      <c r="G10" s="14"/>
      <c r="H10" s="14"/>
      <c r="I10" s="14"/>
      <c r="J10" s="14"/>
      <c r="K10" s="58"/>
      <c r="L10" s="14"/>
    </row>
    <row r="11" spans="1:12" ht="22" customHeight="1" x14ac:dyDescent="0.25">
      <c r="A11" s="103" t="s">
        <v>163</v>
      </c>
      <c r="B11" s="18" t="s">
        <v>147</v>
      </c>
      <c r="C11" s="14" t="s">
        <v>151</v>
      </c>
      <c r="D11" s="14"/>
      <c r="E11" s="14">
        <v>19</v>
      </c>
      <c r="F11" s="18"/>
      <c r="G11" s="14" t="s">
        <v>151</v>
      </c>
      <c r="H11" s="14" t="s">
        <v>152</v>
      </c>
      <c r="I11" s="14"/>
      <c r="J11" s="14"/>
      <c r="K11" s="58"/>
      <c r="L11" s="14"/>
    </row>
    <row r="12" spans="1:12" ht="22" customHeight="1" x14ac:dyDescent="0.25">
      <c r="A12" s="103" t="s">
        <v>164</v>
      </c>
      <c r="B12" s="18" t="s">
        <v>147</v>
      </c>
      <c r="C12" s="14" t="s">
        <v>165</v>
      </c>
      <c r="D12" s="14"/>
      <c r="E12" s="14">
        <v>28</v>
      </c>
      <c r="F12" s="18"/>
      <c r="G12" s="14"/>
      <c r="H12" s="14"/>
      <c r="I12" s="14"/>
      <c r="J12" s="14"/>
      <c r="K12" s="58"/>
      <c r="L12" s="14"/>
    </row>
    <row r="13" spans="1:12" ht="22" customHeight="1" x14ac:dyDescent="0.25">
      <c r="A13" s="103" t="s">
        <v>166</v>
      </c>
      <c r="B13" s="18" t="s">
        <v>143</v>
      </c>
      <c r="C13" s="14" t="s">
        <v>144</v>
      </c>
      <c r="D13" s="14" t="s">
        <v>145</v>
      </c>
      <c r="E13" s="14">
        <v>14</v>
      </c>
      <c r="F13" s="18"/>
      <c r="G13" s="14"/>
      <c r="H13" s="14"/>
      <c r="I13" s="14"/>
      <c r="J13" s="14"/>
      <c r="K13" s="58"/>
      <c r="L13" s="14"/>
    </row>
    <row r="14" spans="1:12" ht="22" customHeight="1" x14ac:dyDescent="0.2">
      <c r="A14" s="104" t="s">
        <v>167</v>
      </c>
      <c r="B14" s="18"/>
      <c r="C14" s="14" t="s">
        <v>168</v>
      </c>
      <c r="D14" s="14"/>
      <c r="E14" s="14"/>
      <c r="F14" s="18"/>
      <c r="G14" s="14" t="s">
        <v>169</v>
      </c>
      <c r="H14" s="14" t="s">
        <v>170</v>
      </c>
      <c r="I14" s="14"/>
      <c r="J14" s="14"/>
      <c r="K14" s="58"/>
      <c r="L14" s="14" t="s">
        <v>171</v>
      </c>
    </row>
    <row r="15" spans="1:12" ht="22" customHeight="1" x14ac:dyDescent="0.25">
      <c r="A15" s="103" t="s">
        <v>172</v>
      </c>
      <c r="B15" s="18" t="s">
        <v>173</v>
      </c>
      <c r="C15" s="14" t="s">
        <v>174</v>
      </c>
      <c r="D15" s="14" t="s">
        <v>175</v>
      </c>
      <c r="E15" s="14">
        <v>13</v>
      </c>
      <c r="F15" s="18">
        <v>60</v>
      </c>
      <c r="G15" s="14" t="s">
        <v>176</v>
      </c>
      <c r="H15" s="14" t="s">
        <v>177</v>
      </c>
      <c r="I15" s="14" t="s">
        <v>178</v>
      </c>
      <c r="J15" s="14" t="s">
        <v>179</v>
      </c>
      <c r="K15" s="58"/>
      <c r="L15" s="14"/>
    </row>
    <row r="16" spans="1:12" ht="22" customHeight="1" x14ac:dyDescent="0.25">
      <c r="A16" s="103" t="s">
        <v>180</v>
      </c>
      <c r="B16" s="18" t="s">
        <v>173</v>
      </c>
      <c r="C16" s="14" t="s">
        <v>181</v>
      </c>
      <c r="D16" s="14"/>
      <c r="E16" s="14">
        <v>31</v>
      </c>
      <c r="F16" s="18"/>
      <c r="G16" s="14" t="s">
        <v>181</v>
      </c>
      <c r="H16" s="14" t="s">
        <v>182</v>
      </c>
      <c r="I16" s="14"/>
      <c r="J16" s="14"/>
      <c r="K16" s="58"/>
      <c r="L16" s="14"/>
    </row>
    <row r="17" spans="1:12" ht="22" customHeight="1" x14ac:dyDescent="0.25">
      <c r="A17" s="103" t="s">
        <v>183</v>
      </c>
      <c r="B17" s="18" t="s">
        <v>147</v>
      </c>
      <c r="C17" s="14" t="s">
        <v>165</v>
      </c>
      <c r="D17" s="14" t="s">
        <v>184</v>
      </c>
      <c r="E17" s="14">
        <v>10</v>
      </c>
      <c r="F17" s="18">
        <v>45</v>
      </c>
      <c r="G17" s="14"/>
      <c r="H17" s="14"/>
      <c r="I17" s="14"/>
      <c r="J17" s="14"/>
      <c r="K17" s="58"/>
      <c r="L17" s="14"/>
    </row>
    <row r="18" spans="1:12" ht="22" customHeight="1" x14ac:dyDescent="0.25">
      <c r="A18" s="103" t="s">
        <v>185</v>
      </c>
      <c r="B18" s="18" t="s">
        <v>147</v>
      </c>
      <c r="C18" s="14" t="s">
        <v>148</v>
      </c>
      <c r="D18" s="14" t="s">
        <v>149</v>
      </c>
      <c r="E18" s="14">
        <v>16</v>
      </c>
      <c r="F18" s="18">
        <v>75</v>
      </c>
      <c r="G18" s="14"/>
      <c r="H18" s="14"/>
      <c r="I18" s="14"/>
      <c r="J18" s="14"/>
      <c r="K18" s="58"/>
      <c r="L18" s="14"/>
    </row>
    <row r="19" spans="1:12" ht="22" customHeight="1" x14ac:dyDescent="0.25">
      <c r="A19" s="103" t="s">
        <v>186</v>
      </c>
      <c r="B19" s="18" t="s">
        <v>187</v>
      </c>
      <c r="C19" s="14" t="s">
        <v>151</v>
      </c>
      <c r="D19" s="14" t="s">
        <v>161</v>
      </c>
      <c r="E19" s="14">
        <v>16</v>
      </c>
      <c r="F19" s="18">
        <v>75</v>
      </c>
      <c r="G19" s="14" t="s">
        <v>151</v>
      </c>
      <c r="H19" s="14" t="s">
        <v>152</v>
      </c>
      <c r="I19" s="14" t="s">
        <v>188</v>
      </c>
      <c r="J19" s="14" t="s">
        <v>189</v>
      </c>
      <c r="K19" s="58"/>
      <c r="L19" s="14"/>
    </row>
    <row r="20" spans="1:12" ht="22" customHeight="1" x14ac:dyDescent="0.25">
      <c r="A20" s="103" t="s">
        <v>190</v>
      </c>
      <c r="B20" s="18" t="s">
        <v>173</v>
      </c>
      <c r="C20" s="14" t="s">
        <v>151</v>
      </c>
      <c r="D20" s="14" t="s">
        <v>191</v>
      </c>
      <c r="E20" s="14"/>
      <c r="F20" s="18">
        <v>120</v>
      </c>
      <c r="G20" s="14" t="s">
        <v>151</v>
      </c>
      <c r="H20" s="14" t="s">
        <v>152</v>
      </c>
      <c r="I20" s="14" t="s">
        <v>192</v>
      </c>
      <c r="J20" s="14" t="s">
        <v>193</v>
      </c>
      <c r="K20" s="58">
        <v>250</v>
      </c>
      <c r="L20" s="14"/>
    </row>
    <row r="21" spans="1:12" ht="22" customHeight="1" x14ac:dyDescent="0.25">
      <c r="A21" s="105">
        <v>46194</v>
      </c>
      <c r="B21" s="75">
        <v>0.70833333333333337</v>
      </c>
      <c r="C21" s="14" t="s">
        <v>154</v>
      </c>
      <c r="D21" s="14" t="s">
        <v>155</v>
      </c>
      <c r="E21" s="14"/>
      <c r="F21" s="18"/>
      <c r="G21" s="14" t="s">
        <v>156</v>
      </c>
      <c r="H21" s="14" t="s">
        <v>157</v>
      </c>
      <c r="I21" s="14"/>
      <c r="J21" s="14"/>
      <c r="K21" s="58"/>
      <c r="L21" s="14"/>
    </row>
    <row r="22" spans="1:12" ht="22" customHeight="1" x14ac:dyDescent="0.25">
      <c r="A22" s="105">
        <v>46197</v>
      </c>
      <c r="B22" s="75">
        <v>0.75</v>
      </c>
      <c r="C22" s="14" t="s">
        <v>194</v>
      </c>
      <c r="D22" s="14"/>
      <c r="E22" s="14"/>
      <c r="F22" s="18"/>
      <c r="G22" s="14" t="s">
        <v>195</v>
      </c>
      <c r="H22" s="14" t="s">
        <v>196</v>
      </c>
      <c r="I22" s="14"/>
      <c r="J22" s="14"/>
      <c r="K22" s="58"/>
      <c r="L22" s="14"/>
    </row>
    <row r="23" spans="1:12" ht="22" customHeight="1" x14ac:dyDescent="0.2">
      <c r="A23" s="106"/>
    </row>
    <row r="24" spans="1:12" x14ac:dyDescent="0.2">
      <c r="A24" s="1"/>
    </row>
    <row r="25" spans="1:12" x14ac:dyDescent="0.2">
      <c r="A25" s="1"/>
    </row>
    <row r="26" spans="1:12" x14ac:dyDescent="0.2">
      <c r="A26" s="1"/>
    </row>
    <row r="27" spans="1:12" x14ac:dyDescent="0.2">
      <c r="A27" s="1"/>
    </row>
    <row r="28" spans="1:12" x14ac:dyDescent="0.2">
      <c r="A28" s="1"/>
    </row>
    <row r="29" spans="1:12" x14ac:dyDescent="0.2">
      <c r="A29" s="1"/>
    </row>
    <row r="30" spans="1:12" x14ac:dyDescent="0.2">
      <c r="A30" s="1"/>
    </row>
  </sheetData>
  <hyperlinks>
    <hyperlink ref="A3" location="'2023-09-09 Block Party'!A1" display="2023-09-09" xr:uid="{00000000-0004-0000-0100-000000000000}"/>
    <hyperlink ref="A4" location="'2024-04-27 Lincolnwood'!A1" display="2024-04-27" xr:uid="{00000000-0004-0000-0100-000001000000}"/>
    <hyperlink ref="A5" location="'2024-06-08 Fat Shallot'!A1" display="2024-06-08" xr:uid="{00000000-0004-0000-0100-000002000000}"/>
    <hyperlink ref="A6" location="'2024-07-13 Chicago Union'!A1" display="2024-07-13" xr:uid="{00000000-0004-0000-0100-000003000000}"/>
    <hyperlink ref="A7" location="'2024-08-10 Fat Shallot'!A1" display="2024-08-10" xr:uid="{00000000-0004-0000-0100-000004000000}"/>
    <hyperlink ref="A8" location="'2024-09-07 Block Party'!A1" display="2024-09-07" xr:uid="{00000000-0004-0000-0100-000005000000}"/>
    <hyperlink ref="A9" location="'2024-10-09 Fat Shallot'!A1" display="2024-10-09" xr:uid="{00000000-0004-0000-0100-000006000000}"/>
    <hyperlink ref="A10" location="'2025-05-03 Lincolnwood'!A1" display="2025-05-03" xr:uid="{00000000-0004-0000-0100-000007000000}"/>
    <hyperlink ref="A11" location="'2025-06-07 Fat Shallot'!A1" display="2025-06-07" xr:uid="{00000000-0004-0000-0100-000008000000}"/>
    <hyperlink ref="A12" location="'2025-06-25 American Legion'!A1" display="2025-06-25" xr:uid="{00000000-0004-0000-0100-000009000000}"/>
    <hyperlink ref="A13" location="'2025-09-06 Block Party'!A1" display="2025-09-06" xr:uid="{00000000-0004-0000-0100-00000A000000}"/>
    <hyperlink ref="A15" location="'2025-11-16 Double Clutch'!A1" display="2025-11-16" xr:uid="{00000000-0004-0000-0100-00000B000000}"/>
    <hyperlink ref="A16" location="'2026-01-24 Goat Village'!A1" display="2026-01-24" xr:uid="{00000000-0004-0000-0100-00000C000000}"/>
    <hyperlink ref="A17" location="'2026-04-22 Spring Cha Ching'!A1" display="2026-04-22" xr:uid="{00000000-0004-0000-0100-00000D000000}"/>
    <hyperlink ref="A18" location="'2026-05-02 Lincolnwood'!A1" display="2026-05-02" xr:uid="{00000000-0004-0000-0100-00000E000000}"/>
    <hyperlink ref="A19" location="'2026-05-14 Fat Shallot'!A1" display="2026-05-14" xr:uid="{00000000-0004-0000-0100-00000F000000}"/>
    <hyperlink ref="A20" location="'2026-05-16 Fat Shallot'!A1" display="2026-05-16" xr:uid="{00000000-0004-0000-0100-000010000000}"/>
    <hyperlink ref="A21" location="'2026-06-24 Ridgeville Parks'!A1" display="2026-06-24" xr:uid="{00000000-0004-0000-0100-000011000000}"/>
    <hyperlink ref="A22" location="'2026-06-21 Chicago Union'!A1" display="2026-06-21" xr:uid="{00000000-0004-0000-0100-000012000000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opLeftCell="D1" workbookViewId="0">
      <pane ySplit="1" topLeftCell="A2" activePane="bottomLeft" state="frozen"/>
      <selection pane="bottomLeft" activeCell="F8" sqref="F8"/>
    </sheetView>
  </sheetViews>
  <sheetFormatPr baseColWidth="10" defaultColWidth="8.83203125" defaultRowHeight="15" x14ac:dyDescent="0.2"/>
  <cols>
    <col min="1" max="1" width="31.5" customWidth="1"/>
    <col min="2" max="2" width="19.1640625" customWidth="1"/>
    <col min="3" max="3" width="22.83203125" bestFit="1" customWidth="1"/>
    <col min="4" max="4" width="9" customWidth="1"/>
    <col min="5" max="5" width="93.83203125" bestFit="1" customWidth="1"/>
    <col min="6" max="6" width="99.6640625" bestFit="1" customWidth="1"/>
  </cols>
  <sheetData>
    <row r="1" spans="1:8" s="11" customFormat="1" ht="28" customHeight="1" thickTop="1" thickBot="1" x14ac:dyDescent="0.3">
      <c r="A1" s="47" t="s">
        <v>197</v>
      </c>
      <c r="B1" s="48"/>
      <c r="C1" s="48"/>
      <c r="D1" s="48"/>
      <c r="E1" s="48"/>
      <c r="F1" s="48"/>
      <c r="G1" s="48"/>
      <c r="H1" s="48"/>
    </row>
    <row r="2" spans="1:8" s="11" customFormat="1" ht="28" customHeight="1" thickTop="1" thickBot="1" x14ac:dyDescent="0.3">
      <c r="A2" s="47" t="s">
        <v>198</v>
      </c>
      <c r="B2" s="49" t="s">
        <v>199</v>
      </c>
      <c r="C2" s="49" t="s">
        <v>200</v>
      </c>
      <c r="D2" s="49" t="s">
        <v>201</v>
      </c>
      <c r="E2" s="49" t="s">
        <v>202</v>
      </c>
      <c r="F2" s="49" t="s">
        <v>203</v>
      </c>
      <c r="G2" s="49"/>
      <c r="H2" s="49"/>
    </row>
    <row r="3" spans="1:8" ht="20" customHeight="1" thickTop="1" x14ac:dyDescent="0.25">
      <c r="A3" s="13" t="s">
        <v>204</v>
      </c>
      <c r="B3" s="13" t="s">
        <v>53</v>
      </c>
      <c r="C3" s="13" t="s">
        <v>39</v>
      </c>
      <c r="D3" s="13" t="s">
        <v>33</v>
      </c>
      <c r="E3" s="13" t="s">
        <v>205</v>
      </c>
      <c r="F3" s="16" t="s">
        <v>206</v>
      </c>
      <c r="G3" s="16"/>
      <c r="H3" s="16"/>
    </row>
    <row r="4" spans="1:8" ht="20" customHeight="1" x14ac:dyDescent="0.25">
      <c r="A4" s="14" t="s">
        <v>207</v>
      </c>
      <c r="B4" s="14" t="s">
        <v>208</v>
      </c>
      <c r="C4" s="14" t="s">
        <v>271</v>
      </c>
      <c r="D4" s="14" t="s">
        <v>40</v>
      </c>
      <c r="E4" s="14" t="s">
        <v>209</v>
      </c>
      <c r="F4" s="16" t="s">
        <v>210</v>
      </c>
      <c r="G4" s="16"/>
      <c r="H4" s="16"/>
    </row>
    <row r="5" spans="1:8" ht="20" customHeight="1" x14ac:dyDescent="0.25">
      <c r="A5" s="14" t="s">
        <v>211</v>
      </c>
      <c r="B5" s="14" t="s">
        <v>212</v>
      </c>
      <c r="C5" s="14" t="s">
        <v>36</v>
      </c>
      <c r="D5" s="14" t="s">
        <v>69</v>
      </c>
      <c r="E5" s="14"/>
      <c r="F5" s="16" t="s">
        <v>213</v>
      </c>
      <c r="G5" s="16"/>
      <c r="H5" s="16"/>
    </row>
    <row r="6" spans="1:8" ht="20" customHeight="1" x14ac:dyDescent="0.25">
      <c r="A6" s="14" t="s">
        <v>214</v>
      </c>
      <c r="B6" s="14" t="s">
        <v>215</v>
      </c>
      <c r="C6" s="14" t="s">
        <v>36</v>
      </c>
      <c r="D6" s="14" t="s">
        <v>40</v>
      </c>
      <c r="E6" s="14" t="s">
        <v>216</v>
      </c>
      <c r="F6" s="16" t="s">
        <v>217</v>
      </c>
      <c r="G6" s="16"/>
      <c r="H6" s="16"/>
    </row>
    <row r="7" spans="1:8" ht="17" customHeight="1" x14ac:dyDescent="0.25">
      <c r="A7" s="16" t="s">
        <v>218</v>
      </c>
      <c r="B7" s="16" t="s">
        <v>219</v>
      </c>
      <c r="C7" s="16" t="s">
        <v>48</v>
      </c>
      <c r="D7" s="16"/>
      <c r="E7" s="16"/>
      <c r="F7" s="16" t="s">
        <v>220</v>
      </c>
      <c r="G7" s="16"/>
      <c r="H7" s="16"/>
    </row>
    <row r="8" spans="1:8" ht="17" customHeight="1" x14ac:dyDescent="0.25">
      <c r="A8" s="7" t="s">
        <v>269</v>
      </c>
      <c r="B8" s="7" t="s">
        <v>270</v>
      </c>
      <c r="C8" s="7" t="s">
        <v>48</v>
      </c>
      <c r="D8" s="7"/>
      <c r="E8" s="7"/>
      <c r="F8" s="7"/>
      <c r="G8" s="7"/>
      <c r="H8" s="7"/>
    </row>
    <row r="9" spans="1:8" ht="17" customHeight="1" x14ac:dyDescent="0.25">
      <c r="A9" s="7"/>
      <c r="B9" s="7"/>
      <c r="C9" s="7"/>
      <c r="D9" s="7"/>
      <c r="E9" s="7"/>
      <c r="F9" s="7"/>
      <c r="G9" s="7"/>
      <c r="H9" s="7"/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pane ySplit="2" topLeftCell="A3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23" customWidth="1"/>
    <col min="2" max="2" width="18" customWidth="1"/>
    <col min="3" max="3" width="29" customWidth="1"/>
    <col min="4" max="4" width="22.83203125" bestFit="1" customWidth="1"/>
    <col min="5" max="5" width="18.6640625" bestFit="1" customWidth="1"/>
    <col min="6" max="6" width="10" customWidth="1"/>
    <col min="7" max="7" width="50" customWidth="1"/>
  </cols>
  <sheetData>
    <row r="1" spans="1:7" s="4" customFormat="1" ht="28" customHeight="1" thickTop="1" thickBot="1" x14ac:dyDescent="0.25">
      <c r="A1" s="50" t="s">
        <v>221</v>
      </c>
      <c r="B1" s="51"/>
      <c r="C1" s="51"/>
      <c r="D1" s="51"/>
      <c r="E1" s="51"/>
      <c r="F1" s="51"/>
      <c r="G1" s="51"/>
    </row>
    <row r="2" spans="1:7" s="4" customFormat="1" ht="22" customHeight="1" thickTop="1" thickBot="1" x14ac:dyDescent="0.25">
      <c r="A2" s="52" t="s">
        <v>132</v>
      </c>
      <c r="B2" s="52" t="s">
        <v>222</v>
      </c>
      <c r="C2" s="52" t="s">
        <v>223</v>
      </c>
      <c r="D2" s="52" t="s">
        <v>224</v>
      </c>
      <c r="E2" s="52" t="s">
        <v>225</v>
      </c>
      <c r="F2" s="52" t="s">
        <v>226</v>
      </c>
      <c r="G2" s="52" t="s">
        <v>141</v>
      </c>
    </row>
    <row r="3" spans="1:7" ht="22" customHeight="1" thickTop="1" x14ac:dyDescent="0.2">
      <c r="A3" s="13" t="s">
        <v>227</v>
      </c>
      <c r="B3" s="13" t="s">
        <v>228</v>
      </c>
      <c r="C3" s="13" t="s">
        <v>229</v>
      </c>
      <c r="D3" s="13" t="s">
        <v>230</v>
      </c>
      <c r="E3" s="13"/>
      <c r="F3" s="13" t="s">
        <v>231</v>
      </c>
      <c r="G3" s="13" t="s">
        <v>232</v>
      </c>
    </row>
    <row r="4" spans="1:7" ht="22" customHeight="1" x14ac:dyDescent="0.2">
      <c r="A4" s="14" t="s">
        <v>233</v>
      </c>
      <c r="B4" s="14" t="s">
        <v>234</v>
      </c>
      <c r="C4" s="14" t="s">
        <v>235</v>
      </c>
      <c r="D4" s="14" t="s">
        <v>236</v>
      </c>
      <c r="E4" s="14" t="s">
        <v>166</v>
      </c>
      <c r="F4" s="14" t="s">
        <v>231</v>
      </c>
      <c r="G4" s="14" t="s">
        <v>237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pane ySplit="2" topLeftCell="A3" activePane="bottomLeft" state="frozen"/>
      <selection pane="bottomLeft" activeCell="A5" sqref="A5"/>
    </sheetView>
  </sheetViews>
  <sheetFormatPr baseColWidth="10" defaultColWidth="8.83203125" defaultRowHeight="15" x14ac:dyDescent="0.2"/>
  <cols>
    <col min="1" max="1" width="14" customWidth="1"/>
    <col min="2" max="2" width="32.1640625" bestFit="1" customWidth="1"/>
    <col min="3" max="3" width="14" customWidth="1"/>
    <col min="4" max="4" width="12" customWidth="1"/>
    <col min="5" max="5" width="30" customWidth="1"/>
  </cols>
  <sheetData>
    <row r="1" spans="1:8" s="2" customFormat="1" ht="28" customHeight="1" thickTop="1" thickBot="1" x14ac:dyDescent="0.25">
      <c r="A1" s="40" t="s">
        <v>273</v>
      </c>
      <c r="B1" s="41"/>
      <c r="C1" s="41"/>
      <c r="D1" s="41"/>
      <c r="E1" s="41"/>
      <c r="F1" s="41"/>
      <c r="G1" s="41"/>
      <c r="H1" s="41"/>
    </row>
    <row r="2" spans="1:8" s="2" customFormat="1" ht="22" customHeight="1" thickTop="1" thickBot="1" x14ac:dyDescent="0.25">
      <c r="A2" s="59" t="s">
        <v>130</v>
      </c>
      <c r="B2" s="59" t="s">
        <v>238</v>
      </c>
      <c r="C2" s="59" t="s">
        <v>239</v>
      </c>
      <c r="D2" s="59" t="s">
        <v>240</v>
      </c>
      <c r="E2" s="59" t="s">
        <v>141</v>
      </c>
      <c r="F2" s="41"/>
      <c r="G2" s="41"/>
      <c r="H2" s="41"/>
    </row>
    <row r="3" spans="1:8" ht="18" customHeight="1" thickTop="1" x14ac:dyDescent="0.25">
      <c r="A3" s="60">
        <v>45486</v>
      </c>
      <c r="B3" s="16" t="s">
        <v>274</v>
      </c>
      <c r="C3" s="16" t="s">
        <v>154</v>
      </c>
      <c r="D3" s="61">
        <v>100</v>
      </c>
      <c r="E3" s="16"/>
      <c r="F3" s="16"/>
      <c r="G3" s="16"/>
      <c r="H3" s="16"/>
    </row>
    <row r="4" spans="1:8" ht="17" customHeight="1" x14ac:dyDescent="0.25">
      <c r="A4" s="145">
        <v>46158</v>
      </c>
      <c r="B4" s="7" t="s">
        <v>274</v>
      </c>
      <c r="C4" s="7" t="s">
        <v>192</v>
      </c>
      <c r="D4" s="9">
        <v>250</v>
      </c>
      <c r="E4" s="7"/>
      <c r="F4" s="7"/>
      <c r="G4" s="7"/>
      <c r="H4" s="7"/>
    </row>
    <row r="5" spans="1:8" ht="17" customHeight="1" x14ac:dyDescent="0.25">
      <c r="A5" s="7"/>
      <c r="B5" s="7"/>
      <c r="C5" s="7"/>
      <c r="D5" s="9"/>
      <c r="E5" s="7"/>
      <c r="F5" s="7"/>
      <c r="G5" s="7"/>
      <c r="H5" s="7"/>
    </row>
    <row r="6" spans="1:8" ht="17" customHeight="1" x14ac:dyDescent="0.25">
      <c r="A6" s="7"/>
      <c r="B6" s="7"/>
      <c r="C6" s="7"/>
      <c r="D6" s="9"/>
      <c r="E6" s="7"/>
      <c r="F6" s="7"/>
      <c r="G6" s="7"/>
      <c r="H6" s="7"/>
    </row>
    <row r="7" spans="1:8" ht="17" customHeight="1" x14ac:dyDescent="0.25">
      <c r="A7" s="7"/>
      <c r="B7" s="7"/>
      <c r="C7" s="7"/>
      <c r="D7" s="9"/>
      <c r="E7" s="7"/>
      <c r="F7" s="7"/>
      <c r="G7" s="7"/>
      <c r="H7" s="7"/>
    </row>
    <row r="8" spans="1:8" ht="17" customHeight="1" x14ac:dyDescent="0.25">
      <c r="A8" s="7"/>
      <c r="B8" s="7"/>
      <c r="C8" s="7"/>
      <c r="D8" s="9"/>
      <c r="E8" s="7"/>
      <c r="F8" s="7"/>
      <c r="G8" s="7"/>
      <c r="H8" s="7"/>
    </row>
    <row r="9" spans="1:8" ht="17" customHeight="1" x14ac:dyDescent="0.25">
      <c r="A9" s="7"/>
      <c r="B9" s="7"/>
      <c r="C9" s="7"/>
      <c r="D9" s="9"/>
      <c r="E9" s="7"/>
      <c r="F9" s="7"/>
      <c r="G9" s="7"/>
      <c r="H9" s="7"/>
    </row>
    <row r="10" spans="1:8" ht="17" customHeight="1" x14ac:dyDescent="0.25">
      <c r="A10" s="7"/>
      <c r="B10" s="7"/>
      <c r="C10" s="7"/>
      <c r="D10" s="9"/>
      <c r="E10" s="7"/>
      <c r="F10" s="7"/>
      <c r="G10" s="7"/>
      <c r="H10" s="7"/>
    </row>
    <row r="11" spans="1:8" ht="17" customHeight="1" x14ac:dyDescent="0.25">
      <c r="A11" s="7"/>
      <c r="B11" s="7"/>
      <c r="C11" s="7"/>
      <c r="D11" s="9"/>
      <c r="E11" s="7"/>
      <c r="F11" s="7"/>
      <c r="G11" s="7"/>
      <c r="H11" s="7"/>
    </row>
    <row r="12" spans="1:8" ht="17" customHeight="1" x14ac:dyDescent="0.25">
      <c r="A12" s="7"/>
      <c r="B12" s="7"/>
      <c r="C12" s="7"/>
      <c r="D12" s="9"/>
      <c r="E12" s="7"/>
      <c r="F12" s="7"/>
      <c r="G12" s="7"/>
      <c r="H12" s="7"/>
    </row>
    <row r="13" spans="1:8" ht="17" customHeight="1" x14ac:dyDescent="0.25">
      <c r="A13" s="7"/>
      <c r="B13" s="7"/>
      <c r="C13" s="7"/>
      <c r="D13" s="9"/>
      <c r="E13" s="7"/>
      <c r="F13" s="7"/>
      <c r="G13" s="7"/>
      <c r="H13" s="7"/>
    </row>
    <row r="14" spans="1:8" ht="17" customHeight="1" x14ac:dyDescent="0.25">
      <c r="A14" s="7"/>
      <c r="B14" s="7"/>
      <c r="C14" s="7"/>
      <c r="D14" s="9"/>
      <c r="E14" s="7"/>
      <c r="F14" s="7"/>
      <c r="G14" s="7"/>
      <c r="H14" s="7"/>
    </row>
    <row r="15" spans="1:8" ht="17" customHeight="1" x14ac:dyDescent="0.25">
      <c r="A15" s="7"/>
      <c r="B15" s="7"/>
      <c r="C15" s="7"/>
      <c r="D15" s="9"/>
      <c r="E15" s="7"/>
      <c r="F15" s="7"/>
      <c r="G15" s="7"/>
      <c r="H15" s="7"/>
    </row>
    <row r="16" spans="1:8" ht="17" customHeight="1" x14ac:dyDescent="0.25">
      <c r="A16" s="7"/>
      <c r="B16" s="7"/>
      <c r="C16" s="7"/>
      <c r="D16" s="9"/>
      <c r="E16" s="7"/>
      <c r="F16" s="7"/>
      <c r="G16" s="7"/>
      <c r="H16" s="7"/>
    </row>
    <row r="17" spans="1:8" ht="17" customHeight="1" x14ac:dyDescent="0.25">
      <c r="A17" s="7"/>
      <c r="B17" s="7"/>
      <c r="C17" s="7"/>
      <c r="D17" s="9"/>
      <c r="E17" s="7"/>
      <c r="F17" s="7"/>
      <c r="G17" s="7"/>
      <c r="H17" s="7"/>
    </row>
    <row r="18" spans="1:8" ht="17" customHeight="1" x14ac:dyDescent="0.25">
      <c r="A18" s="7"/>
      <c r="B18" s="7"/>
      <c r="C18" s="7"/>
      <c r="D18" s="9"/>
      <c r="E18" s="7"/>
      <c r="F18" s="7"/>
      <c r="G18" s="7"/>
      <c r="H18" s="7"/>
    </row>
    <row r="19" spans="1:8" ht="17" customHeight="1" x14ac:dyDescent="0.25">
      <c r="A19" s="7"/>
      <c r="B19" s="7"/>
      <c r="C19" s="7"/>
      <c r="D19" s="9"/>
      <c r="E19" s="7"/>
      <c r="F19" s="7"/>
      <c r="G19" s="7"/>
      <c r="H19" s="7"/>
    </row>
    <row r="20" spans="1:8" ht="17" customHeight="1" x14ac:dyDescent="0.25">
      <c r="A20" s="7"/>
      <c r="B20" s="7"/>
      <c r="C20" s="7"/>
      <c r="D20" s="9"/>
      <c r="E20" s="7"/>
      <c r="F20" s="7"/>
      <c r="G20" s="7"/>
      <c r="H20" s="7"/>
    </row>
    <row r="21" spans="1:8" ht="17" customHeight="1" x14ac:dyDescent="0.25">
      <c r="A21" s="7"/>
      <c r="B21" s="7"/>
      <c r="C21" s="7"/>
      <c r="D21" s="9"/>
      <c r="E21" s="7"/>
      <c r="F21" s="7"/>
      <c r="G21" s="7"/>
      <c r="H21" s="7"/>
    </row>
    <row r="22" spans="1:8" ht="17" customHeight="1" x14ac:dyDescent="0.25">
      <c r="A22" s="7"/>
      <c r="B22" s="7"/>
      <c r="C22" s="7"/>
      <c r="D22" s="9"/>
      <c r="E22" s="7"/>
      <c r="F22" s="7"/>
      <c r="G22" s="7"/>
      <c r="H22" s="7"/>
    </row>
    <row r="23" spans="1:8" ht="17" customHeight="1" x14ac:dyDescent="0.25">
      <c r="A23" s="7"/>
      <c r="B23" s="7"/>
      <c r="C23" s="7"/>
      <c r="D23" s="9"/>
      <c r="E23" s="7"/>
      <c r="F23" s="7"/>
      <c r="G23" s="7"/>
      <c r="H23" s="7"/>
    </row>
    <row r="24" spans="1:8" ht="17" customHeight="1" x14ac:dyDescent="0.25">
      <c r="A24" s="7"/>
      <c r="B24" s="7"/>
      <c r="C24" s="7"/>
      <c r="D24" s="9"/>
      <c r="E24" s="7"/>
      <c r="F24" s="7"/>
      <c r="G24" s="7"/>
      <c r="H24" s="7"/>
    </row>
    <row r="25" spans="1:8" ht="17" customHeight="1" x14ac:dyDescent="0.25">
      <c r="A25" s="7"/>
      <c r="B25" s="7"/>
      <c r="C25" s="7"/>
      <c r="D25" s="9"/>
      <c r="E25" s="7"/>
      <c r="F25" s="7"/>
      <c r="G25" s="7"/>
      <c r="H25" s="7"/>
    </row>
    <row r="26" spans="1:8" ht="17" customHeight="1" x14ac:dyDescent="0.25">
      <c r="A26" s="7"/>
      <c r="B26" s="7"/>
      <c r="C26" s="7"/>
      <c r="D26" s="9"/>
      <c r="E26" s="7"/>
      <c r="F26" s="7"/>
      <c r="G26" s="7"/>
      <c r="H26" s="7"/>
    </row>
    <row r="27" spans="1:8" ht="16" customHeight="1" x14ac:dyDescent="0.2">
      <c r="A27" s="8"/>
      <c r="B27" s="8"/>
      <c r="C27" s="8"/>
      <c r="D27" s="10"/>
      <c r="E27" s="8"/>
      <c r="F27" s="8"/>
      <c r="G27" s="8"/>
      <c r="H27" s="8"/>
    </row>
    <row r="28" spans="1:8" x14ac:dyDescent="0.2">
      <c r="D28" s="5"/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241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x14ac:dyDescent="0.2">
      <c r="A3" s="28"/>
      <c r="B3" s="23"/>
      <c r="C3" s="30"/>
      <c r="D3" s="30"/>
      <c r="E3" s="23"/>
      <c r="F3" s="32"/>
    </row>
    <row r="4" spans="1:6" ht="22" customHeight="1" thickBot="1" x14ac:dyDescent="0.25">
      <c r="A4" s="33"/>
      <c r="B4" s="34" t="s">
        <v>244</v>
      </c>
      <c r="C4" s="35"/>
      <c r="D4" s="35"/>
      <c r="E4" s="34"/>
      <c r="F4" s="36">
        <f>SUM(F3:F3)</f>
        <v>0</v>
      </c>
    </row>
  </sheetData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245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x14ac:dyDescent="0.2">
      <c r="A3" s="28"/>
      <c r="B3" s="23"/>
      <c r="C3" s="30"/>
      <c r="D3" s="30"/>
      <c r="E3" s="23"/>
      <c r="F3" s="32"/>
    </row>
    <row r="4" spans="1:6" ht="22" customHeight="1" thickBot="1" x14ac:dyDescent="0.25">
      <c r="A4" s="33"/>
      <c r="B4" s="34" t="s">
        <v>244</v>
      </c>
      <c r="C4" s="35"/>
      <c r="D4" s="35"/>
      <c r="E4" s="34"/>
      <c r="F4" s="36">
        <f>SUM(F3:F3)</f>
        <v>0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"/>
  <sheetViews>
    <sheetView zoomScaleNormal="100" workbookViewId="0">
      <pane ySplit="2" topLeftCell="A3" activePane="bottomLeft" state="frozen"/>
      <selection pane="bottomLeft" activeCell="F30" sqref="A1:F30"/>
    </sheetView>
  </sheetViews>
  <sheetFormatPr baseColWidth="10" defaultColWidth="8.83203125" defaultRowHeight="15" x14ac:dyDescent="0.2"/>
  <cols>
    <col min="1" max="1" width="4.83203125" style="19" customWidth="1"/>
    <col min="2" max="2" width="30.83203125" bestFit="1" customWidth="1"/>
    <col min="3" max="4" width="7.5" style="19" customWidth="1"/>
    <col min="5" max="5" width="9.1640625" bestFit="1" customWidth="1"/>
    <col min="6" max="6" width="11.83203125" style="19" bestFit="1" customWidth="1"/>
  </cols>
  <sheetData>
    <row r="1" spans="1:6" ht="30" customHeight="1" x14ac:dyDescent="0.2">
      <c r="A1" s="125" t="s">
        <v>246</v>
      </c>
      <c r="B1" s="126"/>
      <c r="C1" s="126"/>
      <c r="D1" s="126"/>
      <c r="E1" s="126"/>
      <c r="F1" s="127"/>
    </row>
    <row r="2" spans="1:6" ht="22" customHeight="1" thickBot="1" x14ac:dyDescent="0.25">
      <c r="A2" s="77" t="s">
        <v>242</v>
      </c>
      <c r="B2" s="78" t="s">
        <v>1</v>
      </c>
      <c r="C2" s="78" t="s">
        <v>2</v>
      </c>
      <c r="D2" s="78" t="s">
        <v>3</v>
      </c>
      <c r="E2" s="78" t="s">
        <v>243</v>
      </c>
      <c r="F2" s="79" t="s">
        <v>6</v>
      </c>
    </row>
    <row r="3" spans="1:6" ht="22" customHeight="1" x14ac:dyDescent="0.2">
      <c r="A3" s="80">
        <v>1</v>
      </c>
      <c r="B3" s="81" t="s">
        <v>49</v>
      </c>
      <c r="C3" s="82" t="s">
        <v>2</v>
      </c>
      <c r="D3" s="83" t="s">
        <v>3</v>
      </c>
      <c r="E3" s="81" t="s">
        <v>31</v>
      </c>
      <c r="F3" s="84">
        <v>2.1875000000000002E-3</v>
      </c>
    </row>
    <row r="4" spans="1:6" ht="22" customHeight="1" x14ac:dyDescent="0.2">
      <c r="A4" s="85">
        <v>2</v>
      </c>
      <c r="B4" s="86" t="s">
        <v>116</v>
      </c>
      <c r="C4" s="87" t="s">
        <v>2</v>
      </c>
      <c r="D4" s="88" t="s">
        <v>3</v>
      </c>
      <c r="E4" s="86" t="s">
        <v>36</v>
      </c>
      <c r="F4" s="76">
        <v>2.2569444444444399E-3</v>
      </c>
    </row>
    <row r="5" spans="1:6" ht="22" customHeight="1" x14ac:dyDescent="0.2">
      <c r="A5" s="85">
        <v>3</v>
      </c>
      <c r="B5" s="86" t="s">
        <v>87</v>
      </c>
      <c r="C5" s="87" t="s">
        <v>2</v>
      </c>
      <c r="D5" s="88" t="s">
        <v>3</v>
      </c>
      <c r="E5" s="86" t="s">
        <v>31</v>
      </c>
      <c r="F5" s="76">
        <v>2.6504629629629599E-3</v>
      </c>
    </row>
    <row r="6" spans="1:6" ht="22" customHeight="1" x14ac:dyDescent="0.2">
      <c r="A6" s="85">
        <v>4</v>
      </c>
      <c r="B6" s="86" t="s">
        <v>120</v>
      </c>
      <c r="C6" s="87" t="s">
        <v>2</v>
      </c>
      <c r="D6" s="88" t="s">
        <v>3</v>
      </c>
      <c r="E6" s="86" t="s">
        <v>31</v>
      </c>
      <c r="F6" s="76">
        <v>2.0833333333333298E-3</v>
      </c>
    </row>
    <row r="7" spans="1:6" ht="22" customHeight="1" x14ac:dyDescent="0.2">
      <c r="A7" s="85">
        <v>5</v>
      </c>
      <c r="B7" s="86" t="s">
        <v>92</v>
      </c>
      <c r="C7" s="87" t="s">
        <v>2</v>
      </c>
      <c r="D7" s="88" t="s">
        <v>3</v>
      </c>
      <c r="E7" s="86" t="s">
        <v>36</v>
      </c>
      <c r="F7" s="76">
        <v>2.04861111111111E-3</v>
      </c>
    </row>
    <row r="8" spans="1:6" ht="22" customHeight="1" x14ac:dyDescent="0.2">
      <c r="A8" s="85">
        <v>6</v>
      </c>
      <c r="B8" s="86" t="s">
        <v>44</v>
      </c>
      <c r="C8" s="87" t="s">
        <v>2</v>
      </c>
      <c r="D8" s="88" t="s">
        <v>3</v>
      </c>
      <c r="E8" s="86" t="s">
        <v>31</v>
      </c>
      <c r="F8" s="76">
        <v>3.4143518518518498E-3</v>
      </c>
    </row>
    <row r="9" spans="1:6" ht="22" customHeight="1" x14ac:dyDescent="0.2">
      <c r="A9" s="85">
        <v>7</v>
      </c>
      <c r="B9" s="86" t="s">
        <v>65</v>
      </c>
      <c r="C9" s="87" t="s">
        <v>2</v>
      </c>
      <c r="D9" s="88" t="s">
        <v>3</v>
      </c>
      <c r="E9" s="86" t="s">
        <v>36</v>
      </c>
      <c r="F9" s="76">
        <v>2.48842592592593E-3</v>
      </c>
    </row>
    <row r="10" spans="1:6" ht="22" customHeight="1" x14ac:dyDescent="0.2">
      <c r="A10" s="85">
        <v>8</v>
      </c>
      <c r="B10" s="86" t="s">
        <v>94</v>
      </c>
      <c r="C10" s="87" t="s">
        <v>2</v>
      </c>
      <c r="D10" s="88" t="s">
        <v>3</v>
      </c>
      <c r="E10" s="86" t="s">
        <v>39</v>
      </c>
      <c r="F10" s="76">
        <v>3.59953703703704E-3</v>
      </c>
    </row>
    <row r="11" spans="1:6" ht="22" customHeight="1" x14ac:dyDescent="0.2">
      <c r="A11" s="85">
        <v>9</v>
      </c>
      <c r="B11" s="86" t="s">
        <v>127</v>
      </c>
      <c r="C11" s="87" t="s">
        <v>2</v>
      </c>
      <c r="D11" s="88" t="s">
        <v>3</v>
      </c>
      <c r="E11" s="86" t="s">
        <v>31</v>
      </c>
      <c r="F11" s="76">
        <v>2.0949074074074099E-3</v>
      </c>
    </row>
    <row r="12" spans="1:6" ht="22" customHeight="1" x14ac:dyDescent="0.2">
      <c r="A12" s="85">
        <v>10</v>
      </c>
      <c r="B12" s="86" t="s">
        <v>247</v>
      </c>
      <c r="C12" s="89" t="s">
        <v>2</v>
      </c>
      <c r="D12" s="90" t="s">
        <v>3</v>
      </c>
      <c r="E12" s="86" t="s">
        <v>39</v>
      </c>
      <c r="F12" s="76">
        <v>2.5810185185185198E-3</v>
      </c>
    </row>
    <row r="13" spans="1:6" ht="22" customHeight="1" x14ac:dyDescent="0.2">
      <c r="A13" s="85">
        <v>11</v>
      </c>
      <c r="B13" s="86" t="s">
        <v>90</v>
      </c>
      <c r="C13" s="87" t="s">
        <v>2</v>
      </c>
      <c r="D13" s="88" t="s">
        <v>3</v>
      </c>
      <c r="E13" s="86" t="s">
        <v>36</v>
      </c>
      <c r="F13" s="76">
        <v>2.8587962962962998E-3</v>
      </c>
    </row>
    <row r="14" spans="1:6" ht="22" customHeight="1" x14ac:dyDescent="0.2">
      <c r="A14" s="85">
        <v>12</v>
      </c>
      <c r="B14" s="86" t="s">
        <v>70</v>
      </c>
      <c r="C14" s="87" t="s">
        <v>2</v>
      </c>
      <c r="D14" s="88" t="s">
        <v>3</v>
      </c>
      <c r="E14" s="86" t="s">
        <v>31</v>
      </c>
      <c r="F14" s="76">
        <v>2.4305555555555599E-3</v>
      </c>
    </row>
    <row r="15" spans="1:6" ht="22" customHeight="1" x14ac:dyDescent="0.2">
      <c r="A15" s="85">
        <v>13</v>
      </c>
      <c r="B15" s="86" t="s">
        <v>89</v>
      </c>
      <c r="C15" s="87" t="s">
        <v>2</v>
      </c>
      <c r="D15" s="88" t="s">
        <v>3</v>
      </c>
      <c r="E15" s="86" t="s">
        <v>48</v>
      </c>
      <c r="F15" s="76">
        <v>3.04398148148148E-3</v>
      </c>
    </row>
    <row r="16" spans="1:6" ht="22" customHeight="1" x14ac:dyDescent="0.2">
      <c r="A16" s="85">
        <v>14</v>
      </c>
      <c r="B16" s="86" t="s">
        <v>123</v>
      </c>
      <c r="C16" s="87" t="s">
        <v>2</v>
      </c>
      <c r="D16" s="88" t="s">
        <v>3</v>
      </c>
      <c r="E16" s="86" t="s">
        <v>36</v>
      </c>
      <c r="F16" s="76">
        <v>3.32175925925926E-3</v>
      </c>
    </row>
    <row r="17" spans="1:6" ht="22" customHeight="1" x14ac:dyDescent="0.2">
      <c r="A17" s="128" t="s">
        <v>248</v>
      </c>
      <c r="B17" s="129"/>
      <c r="C17" s="129"/>
      <c r="D17" s="129"/>
      <c r="E17" s="129"/>
      <c r="F17" s="130"/>
    </row>
    <row r="18" spans="1:6" ht="22" customHeight="1" x14ac:dyDescent="0.2">
      <c r="A18" s="85">
        <v>15</v>
      </c>
      <c r="B18" s="86" t="s">
        <v>41</v>
      </c>
      <c r="C18" s="91" t="s">
        <v>2</v>
      </c>
      <c r="D18" s="92" t="s">
        <v>3</v>
      </c>
      <c r="E18" s="86" t="s">
        <v>39</v>
      </c>
      <c r="F18" s="76">
        <v>2.71990740740741E-3</v>
      </c>
    </row>
    <row r="19" spans="1:6" ht="17" customHeight="1" x14ac:dyDescent="0.2">
      <c r="A19" s="93">
        <v>16</v>
      </c>
      <c r="B19" s="86" t="s">
        <v>63</v>
      </c>
      <c r="C19" s="87" t="s">
        <v>2</v>
      </c>
      <c r="D19" s="88" t="s">
        <v>3</v>
      </c>
      <c r="E19" s="86" t="s">
        <v>31</v>
      </c>
      <c r="F19" s="76">
        <v>2.7893518518518502E-3</v>
      </c>
    </row>
    <row r="20" spans="1:6" ht="22" customHeight="1" x14ac:dyDescent="0.2">
      <c r="A20" s="94">
        <v>17</v>
      </c>
      <c r="B20" s="86" t="s">
        <v>106</v>
      </c>
      <c r="C20" s="87" t="s">
        <v>2</v>
      </c>
      <c r="D20" s="88" t="s">
        <v>3</v>
      </c>
      <c r="E20" s="86" t="s">
        <v>36</v>
      </c>
      <c r="F20" s="76">
        <v>3.3680555555555599E-3</v>
      </c>
    </row>
    <row r="21" spans="1:6" ht="17" customHeight="1" x14ac:dyDescent="0.2">
      <c r="A21" s="85">
        <v>18</v>
      </c>
      <c r="B21" s="86" t="s">
        <v>99</v>
      </c>
      <c r="C21" s="87" t="s">
        <v>2</v>
      </c>
      <c r="D21" s="88" t="s">
        <v>3</v>
      </c>
      <c r="E21" s="86" t="s">
        <v>39</v>
      </c>
      <c r="F21" s="76">
        <v>2.9513888888888901E-3</v>
      </c>
    </row>
    <row r="22" spans="1:6" ht="17" customHeight="1" x14ac:dyDescent="0.2">
      <c r="A22" s="85">
        <v>19</v>
      </c>
      <c r="B22" s="86" t="s">
        <v>72</v>
      </c>
      <c r="C22" s="87" t="s">
        <v>2</v>
      </c>
      <c r="D22" s="88" t="s">
        <v>3</v>
      </c>
      <c r="E22" s="86" t="s">
        <v>36</v>
      </c>
      <c r="F22" s="76">
        <v>2.60416666666667E-3</v>
      </c>
    </row>
    <row r="23" spans="1:6" ht="17" customHeight="1" x14ac:dyDescent="0.2">
      <c r="A23" s="85">
        <v>20</v>
      </c>
      <c r="B23" s="86" t="s">
        <v>97</v>
      </c>
      <c r="C23" s="87" t="s">
        <v>2</v>
      </c>
      <c r="D23" s="88" t="s">
        <v>3</v>
      </c>
      <c r="E23" s="86" t="s">
        <v>31</v>
      </c>
      <c r="F23" s="76">
        <v>3.2291666666666701E-3</v>
      </c>
    </row>
    <row r="24" spans="1:6" ht="17" customHeight="1" x14ac:dyDescent="0.2">
      <c r="A24" s="85">
        <v>21</v>
      </c>
      <c r="B24" s="86" t="s">
        <v>54</v>
      </c>
      <c r="C24" s="87" t="s">
        <v>2</v>
      </c>
      <c r="D24" s="88" t="s">
        <v>3</v>
      </c>
      <c r="E24" s="86" t="s">
        <v>39</v>
      </c>
      <c r="F24" s="95">
        <v>2.7430555555555602E-3</v>
      </c>
    </row>
    <row r="25" spans="1:6" ht="17" customHeight="1" x14ac:dyDescent="0.2">
      <c r="A25" s="85">
        <v>22</v>
      </c>
      <c r="B25" s="86" t="s">
        <v>108</v>
      </c>
      <c r="C25" s="87" t="s">
        <v>2</v>
      </c>
      <c r="D25" s="88" t="s">
        <v>3</v>
      </c>
      <c r="E25" s="86" t="s">
        <v>36</v>
      </c>
      <c r="F25" s="76">
        <v>2.60416666666667E-3</v>
      </c>
    </row>
    <row r="26" spans="1:6" ht="17" customHeight="1" x14ac:dyDescent="0.2">
      <c r="A26" s="85">
        <v>23</v>
      </c>
      <c r="B26" s="86" t="s">
        <v>85</v>
      </c>
      <c r="C26" s="87" t="s">
        <v>2</v>
      </c>
      <c r="D26" s="88" t="s">
        <v>3</v>
      </c>
      <c r="E26" s="86" t="s">
        <v>48</v>
      </c>
      <c r="F26" s="76">
        <v>1.9791666666666699E-3</v>
      </c>
    </row>
    <row r="27" spans="1:6" ht="17" customHeight="1" x14ac:dyDescent="0.2">
      <c r="A27" s="85">
        <v>24</v>
      </c>
      <c r="B27" s="86" t="s">
        <v>78</v>
      </c>
      <c r="C27" s="87" t="s">
        <v>2</v>
      </c>
      <c r="D27" s="88" t="s">
        <v>3</v>
      </c>
      <c r="E27" s="86" t="s">
        <v>39</v>
      </c>
      <c r="F27" s="76">
        <v>2.5810185185185198E-3</v>
      </c>
    </row>
    <row r="28" spans="1:6" ht="17" customHeight="1" x14ac:dyDescent="0.2">
      <c r="A28" s="85">
        <v>25</v>
      </c>
      <c r="B28" s="99" t="s">
        <v>74</v>
      </c>
      <c r="C28" s="100" t="s">
        <v>2</v>
      </c>
      <c r="D28" s="101" t="s">
        <v>3</v>
      </c>
      <c r="E28" s="99" t="s">
        <v>39</v>
      </c>
      <c r="F28" s="102">
        <v>4.6874999999999998E-3</v>
      </c>
    </row>
    <row r="29" spans="1:6" ht="17" customHeight="1" thickBot="1" x14ac:dyDescent="0.25">
      <c r="A29" s="85">
        <v>26</v>
      </c>
      <c r="B29" s="86" t="s">
        <v>103</v>
      </c>
      <c r="C29" s="87" t="s">
        <v>2</v>
      </c>
      <c r="D29" s="88" t="s">
        <v>3</v>
      </c>
      <c r="E29" s="86" t="s">
        <v>31</v>
      </c>
      <c r="F29" s="76">
        <v>5.9606481481481498E-3</v>
      </c>
    </row>
    <row r="30" spans="1:6" ht="17" customHeight="1" thickBot="1" x14ac:dyDescent="0.25">
      <c r="A30" s="96"/>
      <c r="B30" s="97" t="s">
        <v>244</v>
      </c>
      <c r="C30" s="97"/>
      <c r="D30" s="97"/>
      <c r="E30" s="97"/>
      <c r="F30" s="98">
        <f>SUM(F3:F16,F18:F29)</f>
        <v>7.5277777777777805E-2</v>
      </c>
    </row>
  </sheetData>
  <mergeCells count="2">
    <mergeCell ref="A1:F1"/>
    <mergeCell ref="A17:F17"/>
  </mergeCells>
  <conditionalFormatting sqref="A3:F15 B16:F16 A16:A17 A18:F27 A28 A29:F30">
    <cfRule type="expression" dxfId="1" priority="1">
      <formula>MOD(ROW(),2)=0</formula>
    </cfRule>
    <cfRule type="expression" dxfId="0" priority="2">
      <formula>MOD(ROW(),2)=1</formula>
    </cfRule>
  </conditionalFormatting>
  <hyperlinks>
    <hyperlink ref="C3" r:id="rId1" xr:uid="{BAA712D5-FFCE-C04E-AF72-FEEA405D0D0A}"/>
    <hyperlink ref="D3" r:id="rId2" xr:uid="{E4852259-C380-DB43-B6AC-2DCEFE10E1C1}"/>
    <hyperlink ref="C19" r:id="rId3" xr:uid="{1E27734F-836C-1E4A-94B7-3BAAA675BE2E}"/>
    <hyperlink ref="D19" r:id="rId4" xr:uid="{056D36A1-5886-434E-8936-08B11E0DD7BC}"/>
    <hyperlink ref="C23" r:id="rId5" xr:uid="{A8131D0B-2B54-AF44-A0DC-C9E5E4E84C43}"/>
    <hyperlink ref="D23" r:id="rId6" xr:uid="{54E2B576-54CB-3D40-9205-B35AB0AC87A5}"/>
    <hyperlink ref="C8" r:id="rId7" xr:uid="{5E09B39F-0D5F-4D41-8FAA-BAE5EFD5225C}"/>
    <hyperlink ref="D8" r:id="rId8" xr:uid="{FD4951DB-35DB-7546-AE61-590B1BE5319C}"/>
    <hyperlink ref="C6" r:id="rId9" xr:uid="{15AAC0AC-9710-6D45-B2CD-CBB158BBB776}"/>
    <hyperlink ref="D6" r:id="rId10" xr:uid="{488B2766-0875-9340-A718-80657B3C272F}"/>
    <hyperlink ref="C7" r:id="rId11" xr:uid="{E06E47D5-F15C-8443-9697-88EF0E36601C}"/>
    <hyperlink ref="D7" r:id="rId12" xr:uid="{7ECC7573-F102-6546-9D3A-0FDFBF37A55D}"/>
    <hyperlink ref="C16" r:id="rId13" xr:uid="{813AD37C-C7EC-454E-BBF6-E1CF6B857A3C}"/>
    <hyperlink ref="D16" r:id="rId14" xr:uid="{C3DA2AB7-8306-7F40-878B-960FDE693BE7}"/>
    <hyperlink ref="C10" r:id="rId15" xr:uid="{DAF1CD87-F498-0F49-8243-8E6AA8DA8C1A}"/>
    <hyperlink ref="D10" r:id="rId16" xr:uid="{956951FB-E348-8C46-A11A-C5CEFEE487B3}"/>
    <hyperlink ref="C4" r:id="rId17" xr:uid="{E2B08CDB-942C-3249-9ABA-E7FE86D6A063}"/>
    <hyperlink ref="D4" r:id="rId18" xr:uid="{53EB5533-4839-5E4F-9804-F749E14A87A4}"/>
    <hyperlink ref="C12" r:id="rId19" xr:uid="{2B2F94B9-CD6F-5641-8C89-E2216F059CBB}"/>
    <hyperlink ref="D12" r:id="rId20" xr:uid="{74B3E50B-B78C-9F48-924B-F6F3C4697887}"/>
    <hyperlink ref="C13" r:id="rId21" xr:uid="{09878D85-F956-7242-9F4C-AEB10595DB0A}"/>
    <hyperlink ref="D13" r:id="rId22" xr:uid="{4E15A076-0D21-7948-B16F-C69DDB3D7C06}"/>
    <hyperlink ref="C14" r:id="rId23" xr:uid="{C4923A50-5B06-264A-9795-85C3427EB319}"/>
    <hyperlink ref="D14" r:id="rId24" xr:uid="{D9C06E4A-E177-4D43-AB81-E37174622D31}"/>
    <hyperlink ref="C15" r:id="rId25" xr:uid="{2697B9E9-BEB3-5A48-8D62-C811BC0C1EA7}"/>
    <hyperlink ref="D15" r:id="rId26" xr:uid="{637A7C96-59E3-D341-8732-7D8811C4AF64}"/>
    <hyperlink ref="C11" r:id="rId27" xr:uid="{FD696729-92AF-1141-B5E2-8898DBFFEAFB}"/>
    <hyperlink ref="D11" r:id="rId28" xr:uid="{BB9F3F8A-DB93-8347-8EB8-06F72B59020E}"/>
    <hyperlink ref="C18" r:id="rId29" xr:uid="{DAB0D12E-642E-7949-A8CD-3CF3D1D1249D}"/>
    <hyperlink ref="D18" r:id="rId30" xr:uid="{CE787887-3A6B-1148-9119-77AB9900C4C2}"/>
    <hyperlink ref="C20" r:id="rId31" xr:uid="{DD0EB3E5-709A-EA41-B93A-07B35DEDB7AF}"/>
    <hyperlink ref="D20" r:id="rId32" xr:uid="{04588AAB-1D0A-2647-93EC-F411C9CD9290}"/>
    <hyperlink ref="C9" r:id="rId33" xr:uid="{314C1416-2626-A44B-9485-0002AC129C1B}"/>
    <hyperlink ref="D9" r:id="rId34" xr:uid="{FF32505C-F8C0-BA49-BD6A-754E19DC05CA}"/>
    <hyperlink ref="C22" r:id="rId35" xr:uid="{BB24184C-0CC4-F741-B5FC-FB7417E8E5AB}"/>
    <hyperlink ref="D22" r:id="rId36" xr:uid="{3CAD6422-2DA3-B244-A86E-A84A34EB5A35}"/>
    <hyperlink ref="C27" r:id="rId37" xr:uid="{E680ADD2-B380-AD40-95AE-3555DE5059EE}"/>
    <hyperlink ref="D27" r:id="rId38" xr:uid="{7D32B9CA-4963-DA49-98CF-90ACBCA1F720}"/>
    <hyperlink ref="C24" r:id="rId39" xr:uid="{F8D996AF-7AB8-8D4E-8992-0A414935A790}"/>
    <hyperlink ref="D24" r:id="rId40" xr:uid="{5E49751D-7AD6-3042-ABA1-54BF2121B35B}"/>
    <hyperlink ref="C25" r:id="rId41" xr:uid="{57EEA659-BF50-0F4B-BB7B-0387CB139937}"/>
    <hyperlink ref="D25" r:id="rId42" xr:uid="{30B0E2EF-5C1C-B04D-A20A-D2DED3AE0779}"/>
    <hyperlink ref="C26" r:id="rId43" xr:uid="{A820A261-C2D3-E845-B34A-55DC13BDAF67}"/>
    <hyperlink ref="D26" r:id="rId44" xr:uid="{6CFCBEE4-0F89-8A4E-8A9A-34BFFC520B3A}"/>
    <hyperlink ref="C21" r:id="rId45" xr:uid="{9739C796-6A91-E243-B275-0CB315E77720}"/>
    <hyperlink ref="D21" r:id="rId46" xr:uid="{777EE288-310E-784F-9102-E0DC02E0DFF6}"/>
    <hyperlink ref="C29" r:id="rId47" xr:uid="{18F37730-F3BE-C746-B255-3B43B3187EE2}"/>
    <hyperlink ref="D29" r:id="rId48" xr:uid="{5911AF34-D2FB-8143-AA88-B053A4313E61}"/>
    <hyperlink ref="C28" r:id="rId49" xr:uid="{A6EB0356-7914-8D44-985C-B14088BE3110}"/>
    <hyperlink ref="D28" r:id="rId50" xr:uid="{CCD42764-6A52-F144-A9C0-C0AB05033BF6}"/>
    <hyperlink ref="C5" r:id="rId51" xr:uid="{35CC4A7D-C1CA-6D41-AFB6-F0525BA45269}"/>
    <hyperlink ref="D5" r:id="rId52" xr:uid="{CD8E5A75-E6B0-3244-BA65-EA1C992A117A}"/>
  </hyperlink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>
      <pane ySplit="2" topLeftCell="A3" activePane="bottomLeft" state="frozen"/>
      <selection pane="bottomLeft" activeCell="F20" sqref="A1:F20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">
      <c r="A1" s="131" t="s">
        <v>267</v>
      </c>
      <c r="B1" s="132"/>
      <c r="C1" s="132"/>
      <c r="D1" s="132"/>
      <c r="E1" s="132"/>
      <c r="F1" s="133"/>
    </row>
    <row r="2" spans="1:6" ht="22" customHeight="1" x14ac:dyDescent="0.2">
      <c r="A2" s="65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66" t="s">
        <v>6</v>
      </c>
    </row>
    <row r="3" spans="1:6" ht="22" customHeight="1" x14ac:dyDescent="0.2">
      <c r="A3" s="67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8">
        <v>2.1874999999999998E-3</v>
      </c>
    </row>
    <row r="4" spans="1:6" ht="22" customHeight="1" x14ac:dyDescent="0.2">
      <c r="A4" s="67">
        <v>2</v>
      </c>
      <c r="B4" s="24" t="s">
        <v>99</v>
      </c>
      <c r="C4" s="37" t="s">
        <v>2</v>
      </c>
      <c r="D4" s="37" t="s">
        <v>3</v>
      </c>
      <c r="E4" s="24" t="s">
        <v>39</v>
      </c>
      <c r="F4" s="68">
        <v>2.9513888888888888E-3</v>
      </c>
    </row>
    <row r="5" spans="1:6" ht="22" customHeight="1" x14ac:dyDescent="0.2">
      <c r="A5" s="67">
        <v>3</v>
      </c>
      <c r="B5" s="24" t="s">
        <v>72</v>
      </c>
      <c r="C5" s="37" t="s">
        <v>2</v>
      </c>
      <c r="D5" s="37" t="s">
        <v>3</v>
      </c>
      <c r="E5" s="24" t="s">
        <v>36</v>
      </c>
      <c r="F5" s="68">
        <v>2.6041666666666665E-3</v>
      </c>
    </row>
    <row r="6" spans="1:6" ht="22" customHeight="1" x14ac:dyDescent="0.2">
      <c r="A6" s="67">
        <v>4</v>
      </c>
      <c r="B6" s="24" t="s">
        <v>78</v>
      </c>
      <c r="C6" s="37" t="s">
        <v>2</v>
      </c>
      <c r="D6" s="37" t="s">
        <v>3</v>
      </c>
      <c r="E6" s="24" t="s">
        <v>39</v>
      </c>
      <c r="F6" s="68">
        <v>2.5810185185185185E-3</v>
      </c>
    </row>
    <row r="7" spans="1:6" ht="22" customHeight="1" x14ac:dyDescent="0.2">
      <c r="A7" s="67">
        <v>5</v>
      </c>
      <c r="B7" s="24" t="s">
        <v>70</v>
      </c>
      <c r="C7" s="37" t="s">
        <v>2</v>
      </c>
      <c r="D7" s="37" t="s">
        <v>3</v>
      </c>
      <c r="E7" s="24" t="s">
        <v>31</v>
      </c>
      <c r="F7" s="68">
        <v>2.4305555555555556E-3</v>
      </c>
    </row>
    <row r="8" spans="1:6" ht="22" customHeight="1" x14ac:dyDescent="0.2">
      <c r="A8" s="67">
        <v>6</v>
      </c>
      <c r="B8" s="24" t="s">
        <v>90</v>
      </c>
      <c r="C8" s="37" t="s">
        <v>2</v>
      </c>
      <c r="D8" s="37" t="s">
        <v>3</v>
      </c>
      <c r="E8" s="24" t="s">
        <v>36</v>
      </c>
      <c r="F8" s="68">
        <v>2.8587962962962963E-3</v>
      </c>
    </row>
    <row r="9" spans="1:6" ht="22" customHeight="1" x14ac:dyDescent="0.2">
      <c r="A9" s="67">
        <v>7</v>
      </c>
      <c r="B9" s="24" t="s">
        <v>44</v>
      </c>
      <c r="C9" s="37" t="s">
        <v>2</v>
      </c>
      <c r="D9" s="37" t="s">
        <v>3</v>
      </c>
      <c r="E9" s="24" t="s">
        <v>31</v>
      </c>
      <c r="F9" s="68">
        <v>3.414351851851852E-3</v>
      </c>
    </row>
    <row r="10" spans="1:6" ht="22" customHeight="1" x14ac:dyDescent="0.2">
      <c r="A10" s="67">
        <v>8</v>
      </c>
      <c r="B10" s="24" t="s">
        <v>82</v>
      </c>
      <c r="C10" s="37" t="s">
        <v>2</v>
      </c>
      <c r="D10" s="37"/>
      <c r="E10" s="24" t="s">
        <v>36</v>
      </c>
      <c r="F10" s="68">
        <f>VLOOKUP(B10,'Song Tracker'!$A$3:$F$48,6,FALSE)</f>
        <v>3.8541666666666668E-3</v>
      </c>
    </row>
    <row r="11" spans="1:6" ht="22" customHeight="1" x14ac:dyDescent="0.2">
      <c r="A11" s="67">
        <v>9</v>
      </c>
      <c r="B11" s="24" t="s">
        <v>94</v>
      </c>
      <c r="C11" s="37" t="s">
        <v>2</v>
      </c>
      <c r="D11" s="37" t="s">
        <v>3</v>
      </c>
      <c r="E11" s="24" t="s">
        <v>39</v>
      </c>
      <c r="F11" s="68">
        <v>3.5995370370370369E-3</v>
      </c>
    </row>
    <row r="12" spans="1:6" ht="22" customHeight="1" x14ac:dyDescent="0.2">
      <c r="A12" s="67">
        <v>10</v>
      </c>
      <c r="B12" s="24" t="s">
        <v>63</v>
      </c>
      <c r="C12" s="37" t="s">
        <v>2</v>
      </c>
      <c r="D12" s="37" t="s">
        <v>3</v>
      </c>
      <c r="E12" s="24" t="s">
        <v>31</v>
      </c>
      <c r="F12" s="68">
        <v>2.7893518518518519E-3</v>
      </c>
    </row>
    <row r="13" spans="1:6" ht="22" customHeight="1" x14ac:dyDescent="0.2">
      <c r="A13" s="67">
        <v>11</v>
      </c>
      <c r="B13" s="24" t="s">
        <v>106</v>
      </c>
      <c r="C13" s="37" t="s">
        <v>2</v>
      </c>
      <c r="D13" s="37" t="s">
        <v>3</v>
      </c>
      <c r="E13" s="24" t="s">
        <v>36</v>
      </c>
      <c r="F13" s="68">
        <v>3.3680555555555556E-3</v>
      </c>
    </row>
    <row r="14" spans="1:6" ht="22" customHeight="1" x14ac:dyDescent="0.2">
      <c r="A14" s="67">
        <v>12</v>
      </c>
      <c r="B14" s="24" t="s">
        <v>247</v>
      </c>
      <c r="C14" s="37" t="s">
        <v>2</v>
      </c>
      <c r="D14" s="37" t="s">
        <v>3</v>
      </c>
      <c r="E14" s="24" t="s">
        <v>39</v>
      </c>
      <c r="F14" s="68">
        <v>2.5810185185185185E-3</v>
      </c>
    </row>
    <row r="15" spans="1:6" ht="22" customHeight="1" x14ac:dyDescent="0.2">
      <c r="A15" s="67">
        <v>13</v>
      </c>
      <c r="B15" s="24" t="s">
        <v>108</v>
      </c>
      <c r="C15" s="37" t="s">
        <v>2</v>
      </c>
      <c r="D15" s="37" t="s">
        <v>3</v>
      </c>
      <c r="E15" s="24" t="s">
        <v>36</v>
      </c>
      <c r="F15" s="68">
        <v>2.6041666666666665E-3</v>
      </c>
    </row>
    <row r="16" spans="1:6" ht="22" customHeight="1" x14ac:dyDescent="0.2">
      <c r="A16" s="67">
        <v>14</v>
      </c>
      <c r="B16" s="24" t="s">
        <v>54</v>
      </c>
      <c r="C16" s="37" t="s">
        <v>2</v>
      </c>
      <c r="D16" s="37" t="s">
        <v>3</v>
      </c>
      <c r="E16" s="24" t="s">
        <v>39</v>
      </c>
      <c r="F16" s="68">
        <v>2.7430555555555554E-3</v>
      </c>
    </row>
    <row r="17" spans="1:6" ht="22" customHeight="1" x14ac:dyDescent="0.2">
      <c r="A17" s="67">
        <v>15</v>
      </c>
      <c r="B17" s="24" t="s">
        <v>127</v>
      </c>
      <c r="C17" s="37" t="s">
        <v>2</v>
      </c>
      <c r="D17" s="37" t="s">
        <v>3</v>
      </c>
      <c r="E17" s="24" t="s">
        <v>31</v>
      </c>
      <c r="F17" s="68">
        <v>2.0949074074074073E-3</v>
      </c>
    </row>
    <row r="18" spans="1:6" ht="22" customHeight="1" x14ac:dyDescent="0.2">
      <c r="A18" s="67">
        <v>16</v>
      </c>
      <c r="B18" s="24" t="s">
        <v>123</v>
      </c>
      <c r="C18" s="37" t="s">
        <v>2</v>
      </c>
      <c r="D18" s="37" t="s">
        <v>3</v>
      </c>
      <c r="E18" s="24" t="s">
        <v>36</v>
      </c>
      <c r="F18" s="68">
        <v>3.3217592592592595E-3</v>
      </c>
    </row>
    <row r="19" spans="1:6" x14ac:dyDescent="0.2">
      <c r="A19" s="69"/>
      <c r="B19" s="23"/>
      <c r="C19" s="30"/>
      <c r="D19" s="30"/>
      <c r="E19" s="23"/>
      <c r="F19" s="70"/>
    </row>
    <row r="20" spans="1:6" ht="22" customHeight="1" thickBot="1" x14ac:dyDescent="0.25">
      <c r="A20" s="71"/>
      <c r="B20" s="72" t="s">
        <v>244</v>
      </c>
      <c r="C20" s="73"/>
      <c r="D20" s="73"/>
      <c r="E20" s="72"/>
      <c r="F20" s="74">
        <f>SUM(F3:F19)</f>
        <v>4.5983796296296293E-2</v>
      </c>
    </row>
  </sheetData>
  <mergeCells count="1">
    <mergeCell ref="A1:F1"/>
  </mergeCells>
  <hyperlinks>
    <hyperlink ref="C3" r:id="rId1" xr:uid="{00000000-0004-0000-0800-000000000000}"/>
    <hyperlink ref="D3" r:id="rId2" xr:uid="{00000000-0004-0000-0800-000001000000}"/>
    <hyperlink ref="C4" r:id="rId3" xr:uid="{00000000-0004-0000-0800-000002000000}"/>
    <hyperlink ref="D4" r:id="rId4" xr:uid="{00000000-0004-0000-0800-000003000000}"/>
    <hyperlink ref="C5" r:id="rId5" xr:uid="{00000000-0004-0000-0800-000004000000}"/>
    <hyperlink ref="D5" r:id="rId6" xr:uid="{00000000-0004-0000-0800-000005000000}"/>
    <hyperlink ref="C6" r:id="rId7" xr:uid="{00000000-0004-0000-0800-000006000000}"/>
    <hyperlink ref="D6" r:id="rId8" xr:uid="{00000000-0004-0000-0800-000007000000}"/>
    <hyperlink ref="C7" r:id="rId9" xr:uid="{00000000-0004-0000-0800-000008000000}"/>
    <hyperlink ref="D7" r:id="rId10" xr:uid="{00000000-0004-0000-0800-000009000000}"/>
    <hyperlink ref="C8" r:id="rId11" xr:uid="{00000000-0004-0000-0800-00000A000000}"/>
    <hyperlink ref="D8" r:id="rId12" xr:uid="{00000000-0004-0000-0800-00000B000000}"/>
    <hyperlink ref="C9" r:id="rId13" xr:uid="{00000000-0004-0000-0800-00000C000000}"/>
    <hyperlink ref="D9" r:id="rId14" xr:uid="{00000000-0004-0000-0800-00000D000000}"/>
    <hyperlink ref="C10" r:id="rId15" xr:uid="{00000000-0004-0000-0800-00000E000000}"/>
    <hyperlink ref="C11" r:id="rId16" xr:uid="{00000000-0004-0000-0800-00000F000000}"/>
    <hyperlink ref="D11" r:id="rId17" xr:uid="{00000000-0004-0000-0800-000010000000}"/>
    <hyperlink ref="C12" r:id="rId18" xr:uid="{00000000-0004-0000-0800-000011000000}"/>
    <hyperlink ref="D12" r:id="rId19" xr:uid="{00000000-0004-0000-0800-000012000000}"/>
    <hyperlink ref="C13" r:id="rId20" xr:uid="{00000000-0004-0000-0800-000013000000}"/>
    <hyperlink ref="D13" r:id="rId21" xr:uid="{00000000-0004-0000-0800-000014000000}"/>
    <hyperlink ref="C14" r:id="rId22" xr:uid="{00000000-0004-0000-0800-000015000000}"/>
    <hyperlink ref="D14" r:id="rId23" xr:uid="{00000000-0004-0000-0800-000016000000}"/>
    <hyperlink ref="C15" r:id="rId24" xr:uid="{00000000-0004-0000-0800-000017000000}"/>
    <hyperlink ref="D15" r:id="rId25" xr:uid="{00000000-0004-0000-0800-000018000000}"/>
    <hyperlink ref="C16" r:id="rId26" xr:uid="{00000000-0004-0000-0800-000019000000}"/>
    <hyperlink ref="D16" r:id="rId27" xr:uid="{00000000-0004-0000-0800-00001A000000}"/>
    <hyperlink ref="C17" r:id="rId28" xr:uid="{00000000-0004-0000-0800-00001B000000}"/>
    <hyperlink ref="D17" r:id="rId29" xr:uid="{00000000-0004-0000-0800-00001C000000}"/>
    <hyperlink ref="C18" r:id="rId30" xr:uid="{00000000-0004-0000-0800-00001D000000}"/>
    <hyperlink ref="D18" r:id="rId31" xr:uid="{00000000-0004-0000-0800-00001E000000}"/>
  </hyperlink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workbookViewId="0">
      <pane ySplit="2" topLeftCell="A3" activePane="bottomLeft" state="frozen"/>
      <selection pane="bottomLeft" activeCell="H15" sqref="H15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249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 t="s">
        <v>250</v>
      </c>
      <c r="B3" s="24" t="s">
        <v>104</v>
      </c>
      <c r="C3" s="37" t="s">
        <v>2</v>
      </c>
      <c r="D3" s="37" t="s">
        <v>3</v>
      </c>
      <c r="E3" s="24" t="s">
        <v>36</v>
      </c>
      <c r="F3" s="63">
        <f>VLOOKUP(B3,'Song Tracker'!$A$3:$F$48,6,FALSE)</f>
        <v>2.4305555555555556E-3</v>
      </c>
    </row>
    <row r="4" spans="1:6" ht="22" customHeight="1" x14ac:dyDescent="0.2">
      <c r="A4" s="39">
        <v>1</v>
      </c>
      <c r="B4" s="24" t="s">
        <v>49</v>
      </c>
      <c r="C4" s="37" t="s">
        <v>2</v>
      </c>
      <c r="D4" s="37" t="s">
        <v>3</v>
      </c>
      <c r="E4" s="24" t="s">
        <v>31</v>
      </c>
      <c r="F4" s="63">
        <v>2.1874999999999998E-3</v>
      </c>
    </row>
    <row r="5" spans="1:6" ht="22" customHeight="1" x14ac:dyDescent="0.2">
      <c r="A5" s="39">
        <v>2</v>
      </c>
      <c r="B5" s="24" t="s">
        <v>99</v>
      </c>
      <c r="C5" s="37" t="s">
        <v>2</v>
      </c>
      <c r="D5" s="37" t="s">
        <v>3</v>
      </c>
      <c r="E5" s="24" t="s">
        <v>39</v>
      </c>
      <c r="F5" s="63">
        <v>2.9513888888888888E-3</v>
      </c>
    </row>
    <row r="6" spans="1:6" ht="22" customHeight="1" x14ac:dyDescent="0.2">
      <c r="A6" s="39">
        <v>3</v>
      </c>
      <c r="B6" s="24" t="s">
        <v>72</v>
      </c>
      <c r="C6" s="37" t="s">
        <v>2</v>
      </c>
      <c r="D6" s="37" t="s">
        <v>3</v>
      </c>
      <c r="E6" s="24" t="s">
        <v>36</v>
      </c>
      <c r="F6" s="63">
        <v>2.6041666666666665E-3</v>
      </c>
    </row>
    <row r="7" spans="1:6" ht="22" customHeight="1" x14ac:dyDescent="0.2">
      <c r="A7" s="39">
        <v>4</v>
      </c>
      <c r="B7" s="24" t="s">
        <v>78</v>
      </c>
      <c r="C7" s="37" t="s">
        <v>2</v>
      </c>
      <c r="D7" s="37" t="s">
        <v>3</v>
      </c>
      <c r="E7" s="24" t="s">
        <v>39</v>
      </c>
      <c r="F7" s="63">
        <v>2.5810185185185185E-3</v>
      </c>
    </row>
    <row r="8" spans="1:6" ht="22" customHeight="1" x14ac:dyDescent="0.2">
      <c r="A8" s="39">
        <v>5</v>
      </c>
      <c r="B8" s="24" t="s">
        <v>70</v>
      </c>
      <c r="C8" s="37" t="s">
        <v>2</v>
      </c>
      <c r="D8" s="37" t="s">
        <v>3</v>
      </c>
      <c r="E8" s="24" t="s">
        <v>31</v>
      </c>
      <c r="F8" s="63">
        <v>2.4305555555555556E-3</v>
      </c>
    </row>
    <row r="9" spans="1:6" ht="22" customHeight="1" x14ac:dyDescent="0.2">
      <c r="A9" s="39">
        <v>6</v>
      </c>
      <c r="B9" s="24" t="s">
        <v>90</v>
      </c>
      <c r="C9" s="37" t="s">
        <v>2</v>
      </c>
      <c r="D9" s="37" t="s">
        <v>3</v>
      </c>
      <c r="E9" s="24" t="s">
        <v>36</v>
      </c>
      <c r="F9" s="63">
        <v>2.8587962962962963E-3</v>
      </c>
    </row>
    <row r="10" spans="1:6" ht="22" customHeight="1" x14ac:dyDescent="0.2">
      <c r="A10" s="39">
        <v>7</v>
      </c>
      <c r="B10" s="24" t="s">
        <v>44</v>
      </c>
      <c r="C10" s="37" t="s">
        <v>2</v>
      </c>
      <c r="D10" s="37" t="s">
        <v>3</v>
      </c>
      <c r="E10" s="24" t="s">
        <v>31</v>
      </c>
      <c r="F10" s="63">
        <v>3.414351851851852E-3</v>
      </c>
    </row>
    <row r="11" spans="1:6" ht="22" customHeight="1" x14ac:dyDescent="0.2">
      <c r="A11" s="39"/>
      <c r="B11" s="24"/>
      <c r="C11" s="37"/>
      <c r="D11" s="37"/>
      <c r="E11" s="24"/>
      <c r="F11" s="63"/>
    </row>
    <row r="12" spans="1:6" ht="22" customHeight="1" x14ac:dyDescent="0.2">
      <c r="A12" s="39">
        <v>9</v>
      </c>
      <c r="B12" s="24" t="s">
        <v>94</v>
      </c>
      <c r="C12" s="37" t="s">
        <v>2</v>
      </c>
      <c r="D12" s="37" t="s">
        <v>3</v>
      </c>
      <c r="E12" s="24" t="s">
        <v>39</v>
      </c>
      <c r="F12" s="63">
        <v>3.5995370370370369E-3</v>
      </c>
    </row>
    <row r="13" spans="1:6" ht="22" customHeight="1" x14ac:dyDescent="0.2">
      <c r="A13" s="39">
        <v>10</v>
      </c>
      <c r="B13" s="24" t="s">
        <v>63</v>
      </c>
      <c r="C13" s="37" t="s">
        <v>2</v>
      </c>
      <c r="D13" s="37" t="s">
        <v>3</v>
      </c>
      <c r="E13" s="24" t="s">
        <v>31</v>
      </c>
      <c r="F13" s="63">
        <v>2.7893518518518519E-3</v>
      </c>
    </row>
    <row r="14" spans="1:6" ht="22" customHeight="1" x14ac:dyDescent="0.2">
      <c r="A14" s="39">
        <v>11</v>
      </c>
      <c r="B14" s="24" t="s">
        <v>106</v>
      </c>
      <c r="C14" s="37" t="s">
        <v>2</v>
      </c>
      <c r="D14" s="37" t="s">
        <v>3</v>
      </c>
      <c r="E14" s="24" t="s">
        <v>36</v>
      </c>
      <c r="F14" s="63">
        <v>3.3680555555555556E-3</v>
      </c>
    </row>
    <row r="15" spans="1:6" ht="22" customHeight="1" x14ac:dyDescent="0.2">
      <c r="A15" s="39">
        <v>12</v>
      </c>
      <c r="B15" s="24" t="s">
        <v>247</v>
      </c>
      <c r="C15" s="37" t="s">
        <v>2</v>
      </c>
      <c r="D15" s="37" t="s">
        <v>3</v>
      </c>
      <c r="E15" s="24" t="s">
        <v>39</v>
      </c>
      <c r="F15" s="63">
        <v>2.5810185185185185E-3</v>
      </c>
    </row>
    <row r="16" spans="1:6" ht="22" customHeight="1" x14ac:dyDescent="0.2">
      <c r="A16" s="39">
        <v>13</v>
      </c>
      <c r="B16" s="24" t="s">
        <v>108</v>
      </c>
      <c r="C16" s="37" t="s">
        <v>2</v>
      </c>
      <c r="D16" s="37" t="s">
        <v>3</v>
      </c>
      <c r="E16" s="24" t="s">
        <v>36</v>
      </c>
      <c r="F16" s="63">
        <v>2.6041666666666665E-3</v>
      </c>
    </row>
    <row r="17" spans="1:6" ht="22" customHeight="1" x14ac:dyDescent="0.2">
      <c r="A17" s="39">
        <v>14</v>
      </c>
      <c r="B17" s="24" t="s">
        <v>54</v>
      </c>
      <c r="C17" s="37" t="s">
        <v>2</v>
      </c>
      <c r="D17" s="37" t="s">
        <v>3</v>
      </c>
      <c r="E17" s="24" t="s">
        <v>39</v>
      </c>
      <c r="F17" s="63">
        <v>2.7430555555555554E-3</v>
      </c>
    </row>
    <row r="18" spans="1:6" ht="22" customHeight="1" x14ac:dyDescent="0.2">
      <c r="A18" s="39">
        <v>15</v>
      </c>
      <c r="B18" s="24" t="s">
        <v>127</v>
      </c>
      <c r="C18" s="37" t="s">
        <v>2</v>
      </c>
      <c r="D18" s="37" t="s">
        <v>3</v>
      </c>
      <c r="E18" s="24" t="s">
        <v>31</v>
      </c>
      <c r="F18" s="63">
        <v>2.0949074074074073E-3</v>
      </c>
    </row>
    <row r="19" spans="1:6" ht="22" customHeight="1" x14ac:dyDescent="0.2">
      <c r="A19" s="39">
        <v>16</v>
      </c>
      <c r="B19" s="24" t="s">
        <v>123</v>
      </c>
      <c r="C19" s="37" t="s">
        <v>2</v>
      </c>
      <c r="D19" s="37" t="s">
        <v>3</v>
      </c>
      <c r="E19" s="24" t="s">
        <v>36</v>
      </c>
      <c r="F19" s="63">
        <v>3.3217592592592595E-3</v>
      </c>
    </row>
    <row r="20" spans="1:6" x14ac:dyDescent="0.2">
      <c r="A20" s="28"/>
      <c r="B20" s="23"/>
      <c r="C20" s="30"/>
      <c r="D20" s="30"/>
      <c r="E20" s="23"/>
      <c r="F20" s="64"/>
    </row>
    <row r="21" spans="1:6" ht="22" customHeight="1" thickBot="1" x14ac:dyDescent="0.25">
      <c r="A21" s="33"/>
      <c r="B21" s="34" t="s">
        <v>244</v>
      </c>
      <c r="C21" s="35"/>
      <c r="D21" s="35"/>
      <c r="E21" s="34"/>
      <c r="F21" s="36">
        <f>SUM(F3:F20)</f>
        <v>4.4560185185185182E-2</v>
      </c>
    </row>
  </sheetData>
  <hyperlinks>
    <hyperlink ref="C3" r:id="rId1" xr:uid="{00000000-0004-0000-0900-000000000000}"/>
    <hyperlink ref="D3" r:id="rId2" xr:uid="{00000000-0004-0000-0900-000001000000}"/>
    <hyperlink ref="C4" r:id="rId3" xr:uid="{00000000-0004-0000-0900-000002000000}"/>
    <hyperlink ref="D4" r:id="rId4" xr:uid="{00000000-0004-0000-0900-000003000000}"/>
    <hyperlink ref="C5" r:id="rId5" xr:uid="{00000000-0004-0000-0900-000004000000}"/>
    <hyperlink ref="D5" r:id="rId6" xr:uid="{00000000-0004-0000-0900-000005000000}"/>
    <hyperlink ref="C6" r:id="rId7" xr:uid="{00000000-0004-0000-0900-000006000000}"/>
    <hyperlink ref="D6" r:id="rId8" xr:uid="{00000000-0004-0000-0900-000007000000}"/>
    <hyperlink ref="C7" r:id="rId9" xr:uid="{00000000-0004-0000-0900-000008000000}"/>
    <hyperlink ref="D7" r:id="rId10" xr:uid="{00000000-0004-0000-0900-000009000000}"/>
    <hyperlink ref="C8" r:id="rId11" xr:uid="{00000000-0004-0000-0900-00000A000000}"/>
    <hyperlink ref="D8" r:id="rId12" xr:uid="{00000000-0004-0000-0900-00000B000000}"/>
    <hyperlink ref="C9" r:id="rId13" xr:uid="{00000000-0004-0000-0900-00000C000000}"/>
    <hyperlink ref="D9" r:id="rId14" xr:uid="{00000000-0004-0000-0900-00000D000000}"/>
    <hyperlink ref="C10" r:id="rId15" xr:uid="{00000000-0004-0000-0900-00000E000000}"/>
    <hyperlink ref="D10" r:id="rId16" xr:uid="{00000000-0004-0000-0900-00000F000000}"/>
    <hyperlink ref="C12" r:id="rId17" xr:uid="{00000000-0004-0000-0900-000010000000}"/>
    <hyperlink ref="D12" r:id="rId18" xr:uid="{00000000-0004-0000-0900-000011000000}"/>
    <hyperlink ref="C13" r:id="rId19" xr:uid="{00000000-0004-0000-0900-000012000000}"/>
    <hyperlink ref="D13" r:id="rId20" xr:uid="{00000000-0004-0000-0900-000013000000}"/>
    <hyperlink ref="C14" r:id="rId21" xr:uid="{00000000-0004-0000-0900-000014000000}"/>
    <hyperlink ref="D14" r:id="rId22" xr:uid="{00000000-0004-0000-0900-000015000000}"/>
    <hyperlink ref="C15" r:id="rId23" xr:uid="{00000000-0004-0000-0900-000016000000}"/>
    <hyperlink ref="D15" r:id="rId24" xr:uid="{00000000-0004-0000-0900-000017000000}"/>
    <hyperlink ref="C16" r:id="rId25" xr:uid="{00000000-0004-0000-0900-000018000000}"/>
    <hyperlink ref="D16" r:id="rId26" xr:uid="{00000000-0004-0000-0900-000019000000}"/>
    <hyperlink ref="C17" r:id="rId27" xr:uid="{00000000-0004-0000-0900-00001A000000}"/>
    <hyperlink ref="D17" r:id="rId28" xr:uid="{00000000-0004-0000-0900-00001B000000}"/>
    <hyperlink ref="C18" r:id="rId29" xr:uid="{00000000-0004-0000-0900-00001C000000}"/>
    <hyperlink ref="D18" r:id="rId30" xr:uid="{00000000-0004-0000-0900-00001D000000}"/>
    <hyperlink ref="C19" r:id="rId31" xr:uid="{00000000-0004-0000-0900-00001E000000}"/>
    <hyperlink ref="D19" r:id="rId32" xr:uid="{00000000-0004-0000-0900-00001F000000}"/>
  </hyperlinks>
  <pageMargins left="0.75" right="0.75" top="1" bottom="1" header="0.5" footer="0.5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pane ySplit="2" topLeftCell="A3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251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99</v>
      </c>
      <c r="C4" s="37" t="s">
        <v>2</v>
      </c>
      <c r="D4" s="37" t="s">
        <v>3</v>
      </c>
      <c r="E4" s="24" t="s">
        <v>39</v>
      </c>
      <c r="F4" s="63">
        <v>2.9513888888888888E-3</v>
      </c>
    </row>
    <row r="5" spans="1:6" ht="22" customHeight="1" x14ac:dyDescent="0.2">
      <c r="A5" s="39">
        <v>3</v>
      </c>
      <c r="B5" s="24" t="s">
        <v>72</v>
      </c>
      <c r="C5" s="37" t="s">
        <v>2</v>
      </c>
      <c r="D5" s="37" t="s">
        <v>3</v>
      </c>
      <c r="E5" s="24" t="s">
        <v>36</v>
      </c>
      <c r="F5" s="63">
        <v>2.6041666666666665E-3</v>
      </c>
    </row>
    <row r="6" spans="1:6" ht="22" customHeight="1" x14ac:dyDescent="0.2">
      <c r="A6" s="39">
        <v>4</v>
      </c>
      <c r="B6" s="24" t="s">
        <v>78</v>
      </c>
      <c r="C6" s="37" t="s">
        <v>2</v>
      </c>
      <c r="D6" s="37" t="s">
        <v>3</v>
      </c>
      <c r="E6" s="24" t="s">
        <v>39</v>
      </c>
      <c r="F6" s="63">
        <v>2.5810185185185185E-3</v>
      </c>
    </row>
    <row r="7" spans="1:6" ht="22" customHeight="1" x14ac:dyDescent="0.2">
      <c r="A7" s="39">
        <v>5</v>
      </c>
      <c r="B7" s="24" t="s">
        <v>44</v>
      </c>
      <c r="C7" s="37" t="s">
        <v>2</v>
      </c>
      <c r="D7" s="37" t="s">
        <v>3</v>
      </c>
      <c r="E7" s="24" t="s">
        <v>31</v>
      </c>
      <c r="F7" s="63">
        <v>3.414351851851852E-3</v>
      </c>
    </row>
    <row r="8" spans="1:6" ht="22" customHeight="1" x14ac:dyDescent="0.2">
      <c r="A8" s="39">
        <v>6</v>
      </c>
      <c r="B8" s="24" t="s">
        <v>85</v>
      </c>
      <c r="C8" s="37" t="s">
        <v>2</v>
      </c>
      <c r="D8" s="37" t="s">
        <v>3</v>
      </c>
      <c r="E8" s="24" t="s">
        <v>48</v>
      </c>
      <c r="F8" s="63">
        <v>1.9791666666666668E-3</v>
      </c>
    </row>
    <row r="9" spans="1:6" ht="22" customHeight="1" x14ac:dyDescent="0.2">
      <c r="A9" s="39">
        <v>7</v>
      </c>
      <c r="B9" s="24" t="s">
        <v>94</v>
      </c>
      <c r="C9" s="37" t="s">
        <v>2</v>
      </c>
      <c r="D9" s="37" t="s">
        <v>3</v>
      </c>
      <c r="E9" s="24" t="s">
        <v>39</v>
      </c>
      <c r="F9" s="63">
        <v>3.5995370370370369E-3</v>
      </c>
    </row>
    <row r="10" spans="1:6" ht="22" customHeight="1" x14ac:dyDescent="0.2">
      <c r="A10" s="39">
        <v>8</v>
      </c>
      <c r="B10" s="24" t="s">
        <v>108</v>
      </c>
      <c r="C10" s="37" t="s">
        <v>2</v>
      </c>
      <c r="D10" s="37" t="s">
        <v>3</v>
      </c>
      <c r="E10" s="24" t="s">
        <v>36</v>
      </c>
      <c r="F10" s="63">
        <v>2.6041666666666665E-3</v>
      </c>
    </row>
    <row r="11" spans="1:6" ht="22" customHeight="1" x14ac:dyDescent="0.2">
      <c r="A11" s="39">
        <v>9</v>
      </c>
      <c r="B11" s="24" t="s">
        <v>54</v>
      </c>
      <c r="C11" s="37" t="s">
        <v>2</v>
      </c>
      <c r="D11" s="37" t="s">
        <v>3</v>
      </c>
      <c r="E11" s="24" t="s">
        <v>39</v>
      </c>
      <c r="F11" s="63">
        <v>2.7430555555555554E-3</v>
      </c>
    </row>
    <row r="12" spans="1:6" ht="22" customHeight="1" x14ac:dyDescent="0.2">
      <c r="A12" s="39">
        <v>10</v>
      </c>
      <c r="B12" s="24" t="s">
        <v>123</v>
      </c>
      <c r="C12" s="37" t="s">
        <v>2</v>
      </c>
      <c r="D12" s="37" t="s">
        <v>3</v>
      </c>
      <c r="E12" s="24" t="s">
        <v>36</v>
      </c>
      <c r="F12" s="63">
        <v>3.3217592592592595E-3</v>
      </c>
    </row>
    <row r="13" spans="1:6" x14ac:dyDescent="0.2">
      <c r="A13" s="28"/>
      <c r="B13" s="23"/>
      <c r="C13" s="30"/>
      <c r="D13" s="30"/>
      <c r="E13" s="23"/>
      <c r="F13" s="64"/>
    </row>
    <row r="14" spans="1:6" ht="22" customHeight="1" thickBot="1" x14ac:dyDescent="0.25">
      <c r="A14" s="33"/>
      <c r="B14" s="34" t="s">
        <v>244</v>
      </c>
      <c r="C14" s="35"/>
      <c r="D14" s="35"/>
      <c r="E14" s="34"/>
      <c r="F14" s="36">
        <f>SUM(F3:F13)</f>
        <v>2.7986111111111111E-2</v>
      </c>
    </row>
  </sheetData>
  <hyperlinks>
    <hyperlink ref="C3" r:id="rId1" xr:uid="{00000000-0004-0000-0A00-000000000000}"/>
    <hyperlink ref="D3" r:id="rId2" xr:uid="{00000000-0004-0000-0A00-000001000000}"/>
    <hyperlink ref="C4" r:id="rId3" xr:uid="{00000000-0004-0000-0A00-000002000000}"/>
    <hyperlink ref="D4" r:id="rId4" xr:uid="{00000000-0004-0000-0A00-000003000000}"/>
    <hyperlink ref="C5" r:id="rId5" xr:uid="{00000000-0004-0000-0A00-000004000000}"/>
    <hyperlink ref="D5" r:id="rId6" xr:uid="{00000000-0004-0000-0A00-000005000000}"/>
    <hyperlink ref="C6" r:id="rId7" xr:uid="{00000000-0004-0000-0A00-000006000000}"/>
    <hyperlink ref="D6" r:id="rId8" xr:uid="{00000000-0004-0000-0A00-000007000000}"/>
    <hyperlink ref="C7" r:id="rId9" xr:uid="{00000000-0004-0000-0A00-000008000000}"/>
    <hyperlink ref="D7" r:id="rId10" xr:uid="{00000000-0004-0000-0A00-000009000000}"/>
    <hyperlink ref="C8" r:id="rId11" xr:uid="{00000000-0004-0000-0A00-00000A000000}"/>
    <hyperlink ref="D8" r:id="rId12" xr:uid="{00000000-0004-0000-0A00-00000B000000}"/>
    <hyperlink ref="C9" r:id="rId13" xr:uid="{00000000-0004-0000-0A00-00000C000000}"/>
    <hyperlink ref="D9" r:id="rId14" xr:uid="{00000000-0004-0000-0A00-00000D000000}"/>
    <hyperlink ref="C10" r:id="rId15" xr:uid="{00000000-0004-0000-0A00-00000E000000}"/>
    <hyperlink ref="D10" r:id="rId16" xr:uid="{00000000-0004-0000-0A00-00000F000000}"/>
    <hyperlink ref="C11" r:id="rId17" xr:uid="{00000000-0004-0000-0A00-000010000000}"/>
    <hyperlink ref="D11" r:id="rId18" xr:uid="{00000000-0004-0000-0A00-000011000000}"/>
    <hyperlink ref="C12" r:id="rId19" xr:uid="{00000000-0004-0000-0A00-000012000000}"/>
    <hyperlink ref="D12" r:id="rId20" xr:uid="{00000000-0004-0000-0A00-000013000000}"/>
  </hyperlinks>
  <pageMargins left="0.75" right="0.75" top="1" bottom="1" header="0.5" footer="0.5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5"/>
  <sheetViews>
    <sheetView workbookViewId="0">
      <pane ySplit="2" topLeftCell="A3" activePane="bottomLeft" state="frozen"/>
      <selection pane="bottomLeft" activeCell="F1" sqref="A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252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65</v>
      </c>
      <c r="C4" s="37" t="s">
        <v>2</v>
      </c>
      <c r="D4" s="37" t="s">
        <v>3</v>
      </c>
      <c r="E4" s="24" t="s">
        <v>36</v>
      </c>
      <c r="F4" s="63">
        <v>2.488425925925926E-3</v>
      </c>
    </row>
    <row r="5" spans="1:6" ht="22" customHeight="1" x14ac:dyDescent="0.2">
      <c r="A5" s="39">
        <v>3</v>
      </c>
      <c r="B5" s="24" t="s">
        <v>97</v>
      </c>
      <c r="C5" s="37" t="s">
        <v>2</v>
      </c>
      <c r="D5" s="37" t="s">
        <v>3</v>
      </c>
      <c r="E5" s="24" t="s">
        <v>31</v>
      </c>
      <c r="F5" s="63">
        <v>3.2291666666666666E-3</v>
      </c>
    </row>
    <row r="6" spans="1:6" ht="22" customHeight="1" x14ac:dyDescent="0.2">
      <c r="A6" s="39">
        <v>4</v>
      </c>
      <c r="B6" s="24" t="s">
        <v>85</v>
      </c>
      <c r="C6" s="37" t="s">
        <v>2</v>
      </c>
      <c r="D6" s="37" t="s">
        <v>3</v>
      </c>
      <c r="E6" s="24" t="s">
        <v>48</v>
      </c>
      <c r="F6" s="63">
        <v>1.9791666666666668E-3</v>
      </c>
    </row>
    <row r="7" spans="1:6" ht="22" customHeight="1" x14ac:dyDescent="0.2">
      <c r="A7" s="39">
        <v>5</v>
      </c>
      <c r="B7" s="24" t="s">
        <v>89</v>
      </c>
      <c r="C7" s="37" t="s">
        <v>2</v>
      </c>
      <c r="D7" s="37" t="s">
        <v>3</v>
      </c>
      <c r="E7" s="24" t="s">
        <v>48</v>
      </c>
      <c r="F7" s="63">
        <v>3.0439814814814817E-3</v>
      </c>
    </row>
    <row r="8" spans="1:6" ht="22" customHeight="1" x14ac:dyDescent="0.2">
      <c r="A8" s="39">
        <v>6</v>
      </c>
      <c r="B8" s="24" t="s">
        <v>54</v>
      </c>
      <c r="C8" s="37" t="s">
        <v>2</v>
      </c>
      <c r="D8" s="37" t="s">
        <v>3</v>
      </c>
      <c r="E8" s="24" t="s">
        <v>39</v>
      </c>
      <c r="F8" s="63">
        <v>2.7430555555555554E-3</v>
      </c>
    </row>
    <row r="9" spans="1:6" ht="22" customHeight="1" x14ac:dyDescent="0.2">
      <c r="A9" s="39">
        <v>7</v>
      </c>
      <c r="B9" s="24" t="s">
        <v>78</v>
      </c>
      <c r="C9" s="37" t="s">
        <v>2</v>
      </c>
      <c r="D9" s="37" t="s">
        <v>3</v>
      </c>
      <c r="E9" s="24" t="s">
        <v>39</v>
      </c>
      <c r="F9" s="63">
        <v>2.5810185185185185E-3</v>
      </c>
    </row>
    <row r="10" spans="1:6" ht="22" customHeight="1" x14ac:dyDescent="0.2">
      <c r="A10" s="39">
        <v>8</v>
      </c>
      <c r="B10" s="24" t="s">
        <v>72</v>
      </c>
      <c r="C10" s="37" t="s">
        <v>2</v>
      </c>
      <c r="D10" s="37" t="s">
        <v>3</v>
      </c>
      <c r="E10" s="24" t="s">
        <v>36</v>
      </c>
      <c r="F10" s="63">
        <v>2.6041666666666665E-3</v>
      </c>
    </row>
    <row r="11" spans="1:6" ht="22" customHeight="1" x14ac:dyDescent="0.2">
      <c r="A11" s="39">
        <v>9</v>
      </c>
      <c r="B11" s="24" t="s">
        <v>67</v>
      </c>
      <c r="C11" s="37" t="s">
        <v>2</v>
      </c>
      <c r="D11" s="37" t="s">
        <v>3</v>
      </c>
      <c r="E11" s="24" t="s">
        <v>39</v>
      </c>
      <c r="F11" s="63">
        <v>1.9328703703703704E-3</v>
      </c>
    </row>
    <row r="12" spans="1:6" ht="22" customHeight="1" x14ac:dyDescent="0.2">
      <c r="A12" s="39">
        <v>10</v>
      </c>
      <c r="B12" s="24" t="s">
        <v>114</v>
      </c>
      <c r="C12" s="37" t="s">
        <v>2</v>
      </c>
      <c r="D12" s="37" t="s">
        <v>3</v>
      </c>
      <c r="E12" s="24" t="s">
        <v>36</v>
      </c>
      <c r="F12" s="63">
        <v>3.4606481481481485E-3</v>
      </c>
    </row>
    <row r="13" spans="1:6" ht="22" customHeight="1" x14ac:dyDescent="0.2">
      <c r="A13" s="39">
        <v>11</v>
      </c>
      <c r="B13" s="24" t="s">
        <v>94</v>
      </c>
      <c r="C13" s="37" t="s">
        <v>2</v>
      </c>
      <c r="D13" s="37" t="s">
        <v>3</v>
      </c>
      <c r="E13" s="24" t="s">
        <v>39</v>
      </c>
      <c r="F13" s="63">
        <v>3.5995370370370369E-3</v>
      </c>
    </row>
    <row r="14" spans="1:6" ht="22" customHeight="1" x14ac:dyDescent="0.2">
      <c r="A14" s="39">
        <v>12</v>
      </c>
      <c r="B14" s="24" t="s">
        <v>106</v>
      </c>
      <c r="C14" s="37" t="s">
        <v>2</v>
      </c>
      <c r="D14" s="37" t="s">
        <v>3</v>
      </c>
      <c r="E14" s="24" t="s">
        <v>36</v>
      </c>
      <c r="F14" s="63">
        <v>3.3680555555555556E-3</v>
      </c>
    </row>
    <row r="15" spans="1:6" ht="22" customHeight="1" x14ac:dyDescent="0.2">
      <c r="A15" s="39">
        <v>13</v>
      </c>
      <c r="B15" s="24" t="s">
        <v>63</v>
      </c>
      <c r="C15" s="37" t="s">
        <v>2</v>
      </c>
      <c r="D15" s="37" t="s">
        <v>3</v>
      </c>
      <c r="E15" s="24" t="s">
        <v>31</v>
      </c>
      <c r="F15" s="63">
        <v>2.7893518518518519E-3</v>
      </c>
    </row>
    <row r="16" spans="1:6" ht="22" customHeight="1" x14ac:dyDescent="0.2">
      <c r="A16" s="39">
        <v>14</v>
      </c>
      <c r="B16" s="24" t="s">
        <v>108</v>
      </c>
      <c r="C16" s="37" t="s">
        <v>2</v>
      </c>
      <c r="D16" s="37" t="s">
        <v>3</v>
      </c>
      <c r="E16" s="24" t="s">
        <v>36</v>
      </c>
      <c r="F16" s="63">
        <v>2.6041666666666665E-3</v>
      </c>
    </row>
    <row r="17" spans="1:6" ht="22" customHeight="1" x14ac:dyDescent="0.2">
      <c r="A17" s="39">
        <v>15</v>
      </c>
      <c r="B17" s="24" t="s">
        <v>127</v>
      </c>
      <c r="C17" s="37" t="s">
        <v>2</v>
      </c>
      <c r="D17" s="37" t="s">
        <v>3</v>
      </c>
      <c r="E17" s="24" t="s">
        <v>31</v>
      </c>
      <c r="F17" s="63">
        <v>2.0949074074074073E-3</v>
      </c>
    </row>
    <row r="18" spans="1:6" ht="22" customHeight="1" x14ac:dyDescent="0.2">
      <c r="A18" s="39">
        <v>16</v>
      </c>
      <c r="B18" s="24" t="s">
        <v>123</v>
      </c>
      <c r="C18" s="37" t="s">
        <v>2</v>
      </c>
      <c r="D18" s="37" t="s">
        <v>3</v>
      </c>
      <c r="E18" s="24" t="s">
        <v>36</v>
      </c>
      <c r="F18" s="63">
        <v>3.3217592592592595E-3</v>
      </c>
    </row>
    <row r="19" spans="1:6" ht="22" customHeight="1" x14ac:dyDescent="0.2">
      <c r="A19" s="39">
        <v>17</v>
      </c>
      <c r="B19" s="24" t="s">
        <v>116</v>
      </c>
      <c r="C19" s="37" t="s">
        <v>2</v>
      </c>
      <c r="D19" s="37" t="s">
        <v>3</v>
      </c>
      <c r="E19" s="24" t="s">
        <v>36</v>
      </c>
      <c r="F19" s="63">
        <v>2.2569444444444442E-3</v>
      </c>
    </row>
    <row r="20" spans="1:6" ht="22" customHeight="1" x14ac:dyDescent="0.2">
      <c r="A20" s="39">
        <v>18</v>
      </c>
      <c r="B20" s="24" t="s">
        <v>44</v>
      </c>
      <c r="C20" s="37" t="s">
        <v>2</v>
      </c>
      <c r="D20" s="37" t="s">
        <v>3</v>
      </c>
      <c r="E20" s="24" t="s">
        <v>31</v>
      </c>
      <c r="F20" s="63">
        <v>3.414351851851852E-3</v>
      </c>
    </row>
    <row r="21" spans="1:6" ht="22" customHeight="1" x14ac:dyDescent="0.2">
      <c r="A21" s="39">
        <v>19</v>
      </c>
      <c r="B21" s="24" t="s">
        <v>99</v>
      </c>
      <c r="C21" s="37" t="s">
        <v>2</v>
      </c>
      <c r="D21" s="37" t="s">
        <v>3</v>
      </c>
      <c r="E21" s="24" t="s">
        <v>39</v>
      </c>
      <c r="F21" s="63">
        <v>2.9513888888888888E-3</v>
      </c>
    </row>
    <row r="22" spans="1:6" ht="22" customHeight="1" x14ac:dyDescent="0.2">
      <c r="A22" s="39">
        <v>20</v>
      </c>
      <c r="B22" s="24" t="s">
        <v>247</v>
      </c>
      <c r="C22" s="37" t="s">
        <v>2</v>
      </c>
      <c r="D22" s="37" t="s">
        <v>3</v>
      </c>
      <c r="E22" s="24" t="s">
        <v>39</v>
      </c>
      <c r="F22" s="63">
        <v>2.5810185185185185E-3</v>
      </c>
    </row>
    <row r="23" spans="1:6" ht="22" customHeight="1" x14ac:dyDescent="0.2">
      <c r="A23" s="39">
        <v>21</v>
      </c>
      <c r="B23" s="24" t="s">
        <v>82</v>
      </c>
      <c r="C23" s="37" t="s">
        <v>2</v>
      </c>
      <c r="D23" s="38"/>
      <c r="E23" s="24" t="s">
        <v>36</v>
      </c>
      <c r="F23" s="63">
        <v>3.8541666666666663E-3</v>
      </c>
    </row>
    <row r="24" spans="1:6" ht="22" customHeight="1" x14ac:dyDescent="0.2">
      <c r="A24" s="39">
        <v>22</v>
      </c>
      <c r="B24" s="24" t="s">
        <v>101</v>
      </c>
      <c r="C24" s="37" t="s">
        <v>2</v>
      </c>
      <c r="D24" s="37" t="s">
        <v>3</v>
      </c>
      <c r="E24" s="24" t="s">
        <v>31</v>
      </c>
      <c r="F24" s="63">
        <v>4.1319444444444442E-3</v>
      </c>
    </row>
    <row r="25" spans="1:6" ht="22" customHeight="1" x14ac:dyDescent="0.2">
      <c r="A25" s="39">
        <v>23</v>
      </c>
      <c r="B25" s="24" t="s">
        <v>92</v>
      </c>
      <c r="C25" s="37" t="s">
        <v>2</v>
      </c>
      <c r="D25" s="37" t="s">
        <v>3</v>
      </c>
      <c r="E25" s="24" t="s">
        <v>36</v>
      </c>
      <c r="F25" s="63">
        <v>2.0486111111111113E-3</v>
      </c>
    </row>
    <row r="26" spans="1:6" ht="22" customHeight="1" x14ac:dyDescent="0.2">
      <c r="A26" s="39">
        <v>24</v>
      </c>
      <c r="B26" s="24" t="s">
        <v>74</v>
      </c>
      <c r="C26" s="37" t="s">
        <v>2</v>
      </c>
      <c r="D26" s="37" t="s">
        <v>3</v>
      </c>
      <c r="E26" s="24" t="s">
        <v>39</v>
      </c>
      <c r="F26" s="63">
        <v>4.6874999999999998E-3</v>
      </c>
    </row>
    <row r="27" spans="1:6" ht="22" customHeight="1" x14ac:dyDescent="0.2">
      <c r="A27" s="39">
        <v>25</v>
      </c>
      <c r="B27" s="24" t="s">
        <v>46</v>
      </c>
      <c r="C27" s="37" t="s">
        <v>2</v>
      </c>
      <c r="D27" s="37" t="s">
        <v>3</v>
      </c>
      <c r="E27" s="24" t="s">
        <v>48</v>
      </c>
      <c r="F27" s="63">
        <v>1.7476851851851852E-3</v>
      </c>
    </row>
    <row r="28" spans="1:6" ht="22" customHeight="1" x14ac:dyDescent="0.2">
      <c r="A28" s="39">
        <v>26</v>
      </c>
      <c r="B28" s="24" t="s">
        <v>41</v>
      </c>
      <c r="C28" s="37" t="s">
        <v>2</v>
      </c>
      <c r="D28" s="37" t="s">
        <v>3</v>
      </c>
      <c r="E28" s="24" t="s">
        <v>39</v>
      </c>
      <c r="F28" s="63">
        <v>2.7199074074074074E-3</v>
      </c>
    </row>
    <row r="29" spans="1:6" ht="22" customHeight="1" x14ac:dyDescent="0.2">
      <c r="A29" s="39">
        <v>27</v>
      </c>
      <c r="B29" s="24" t="s">
        <v>90</v>
      </c>
      <c r="C29" s="37" t="s">
        <v>2</v>
      </c>
      <c r="D29" s="37" t="s">
        <v>3</v>
      </c>
      <c r="E29" s="24" t="s">
        <v>36</v>
      </c>
      <c r="F29" s="63">
        <v>2.8587962962962963E-3</v>
      </c>
    </row>
    <row r="30" spans="1:6" ht="22" customHeight="1" x14ac:dyDescent="0.2">
      <c r="A30" s="39">
        <v>28</v>
      </c>
      <c r="B30" s="24" t="s">
        <v>80</v>
      </c>
      <c r="C30" s="38"/>
      <c r="D30" s="37" t="s">
        <v>3</v>
      </c>
      <c r="E30" s="24" t="s">
        <v>39</v>
      </c>
      <c r="F30" s="63">
        <f>VLOOKUP(B30,'Song Tracker'!$A$3:$F$48,6,FALSE)</f>
        <v>2.6041666666666665E-3</v>
      </c>
    </row>
    <row r="31" spans="1:6" ht="22" customHeight="1" x14ac:dyDescent="0.2">
      <c r="A31" s="39">
        <v>29</v>
      </c>
      <c r="B31" s="24" t="s">
        <v>103</v>
      </c>
      <c r="C31" s="37" t="s">
        <v>2</v>
      </c>
      <c r="D31" s="37" t="s">
        <v>3</v>
      </c>
      <c r="E31" s="24" t="s">
        <v>31</v>
      </c>
      <c r="F31" s="63">
        <v>5.9606481481481481E-3</v>
      </c>
    </row>
    <row r="32" spans="1:6" ht="22" customHeight="1" x14ac:dyDescent="0.2">
      <c r="A32" s="39">
        <v>30</v>
      </c>
      <c r="B32" s="24" t="s">
        <v>70</v>
      </c>
      <c r="C32" s="37" t="s">
        <v>2</v>
      </c>
      <c r="D32" s="37" t="s">
        <v>3</v>
      </c>
      <c r="E32" s="24" t="s">
        <v>31</v>
      </c>
      <c r="F32" s="63">
        <v>2.4305555555555556E-3</v>
      </c>
    </row>
    <row r="33" spans="1:6" ht="22" customHeight="1" x14ac:dyDescent="0.2">
      <c r="A33" s="39">
        <v>31</v>
      </c>
      <c r="B33" s="24" t="s">
        <v>118</v>
      </c>
      <c r="C33" s="37" t="s">
        <v>2</v>
      </c>
      <c r="D33" s="37" t="s">
        <v>3</v>
      </c>
      <c r="E33" s="24" t="s">
        <v>36</v>
      </c>
      <c r="F33" s="63">
        <f>VLOOKUP(B33,'Song Tracker'!$A$3:$F$48,6,FALSE)</f>
        <v>3.472222222222222E-3</v>
      </c>
    </row>
    <row r="34" spans="1:6" ht="22" customHeight="1" x14ac:dyDescent="0.2">
      <c r="A34" s="28"/>
      <c r="B34" s="23"/>
      <c r="C34" s="30"/>
      <c r="D34" s="30"/>
      <c r="E34" s="23"/>
      <c r="F34" s="64"/>
    </row>
    <row r="35" spans="1:6" ht="22" customHeight="1" thickBot="1" x14ac:dyDescent="0.25">
      <c r="A35" s="33"/>
      <c r="B35" s="34" t="s">
        <v>244</v>
      </c>
      <c r="C35" s="35"/>
      <c r="D35" s="35"/>
      <c r="E35" s="34"/>
      <c r="F35" s="36">
        <f>SUM(F3:F34)</f>
        <v>9.1747685185185168E-2</v>
      </c>
    </row>
  </sheetData>
  <hyperlinks>
    <hyperlink ref="C3" r:id="rId1" xr:uid="{00000000-0004-0000-0B00-000000000000}"/>
    <hyperlink ref="D3" r:id="rId2" xr:uid="{00000000-0004-0000-0B00-000001000000}"/>
    <hyperlink ref="C4" r:id="rId3" xr:uid="{00000000-0004-0000-0B00-000002000000}"/>
    <hyperlink ref="D4" r:id="rId4" xr:uid="{00000000-0004-0000-0B00-000003000000}"/>
    <hyperlink ref="C5" r:id="rId5" xr:uid="{00000000-0004-0000-0B00-000004000000}"/>
    <hyperlink ref="D5" r:id="rId6" xr:uid="{00000000-0004-0000-0B00-000005000000}"/>
    <hyperlink ref="C6" r:id="rId7" xr:uid="{00000000-0004-0000-0B00-000006000000}"/>
    <hyperlink ref="D6" r:id="rId8" xr:uid="{00000000-0004-0000-0B00-000007000000}"/>
    <hyperlink ref="C7" r:id="rId9" xr:uid="{00000000-0004-0000-0B00-000008000000}"/>
    <hyperlink ref="D7" r:id="rId10" xr:uid="{00000000-0004-0000-0B00-000009000000}"/>
    <hyperlink ref="C8" r:id="rId11" xr:uid="{00000000-0004-0000-0B00-00000A000000}"/>
    <hyperlink ref="D8" r:id="rId12" xr:uid="{00000000-0004-0000-0B00-00000B000000}"/>
    <hyperlink ref="C9" r:id="rId13" xr:uid="{00000000-0004-0000-0B00-00000C000000}"/>
    <hyperlink ref="D9" r:id="rId14" xr:uid="{00000000-0004-0000-0B00-00000D000000}"/>
    <hyperlink ref="C10" r:id="rId15" xr:uid="{00000000-0004-0000-0B00-00000E000000}"/>
    <hyperlink ref="D10" r:id="rId16" xr:uid="{00000000-0004-0000-0B00-00000F000000}"/>
    <hyperlink ref="C11" r:id="rId17" xr:uid="{00000000-0004-0000-0B00-000010000000}"/>
    <hyperlink ref="D11" r:id="rId18" xr:uid="{00000000-0004-0000-0B00-000011000000}"/>
    <hyperlink ref="C12" r:id="rId19" xr:uid="{00000000-0004-0000-0B00-000012000000}"/>
    <hyperlink ref="D12" r:id="rId20" xr:uid="{00000000-0004-0000-0B00-000013000000}"/>
    <hyperlink ref="C13" r:id="rId21" xr:uid="{00000000-0004-0000-0B00-000014000000}"/>
    <hyperlink ref="D13" r:id="rId22" xr:uid="{00000000-0004-0000-0B00-000015000000}"/>
    <hyperlink ref="C14" r:id="rId23" xr:uid="{00000000-0004-0000-0B00-000016000000}"/>
    <hyperlink ref="D14" r:id="rId24" xr:uid="{00000000-0004-0000-0B00-000017000000}"/>
    <hyperlink ref="C15" r:id="rId25" xr:uid="{00000000-0004-0000-0B00-000018000000}"/>
    <hyperlink ref="D15" r:id="rId26" xr:uid="{00000000-0004-0000-0B00-000019000000}"/>
    <hyperlink ref="C16" r:id="rId27" xr:uid="{00000000-0004-0000-0B00-00001A000000}"/>
    <hyperlink ref="D16" r:id="rId28" xr:uid="{00000000-0004-0000-0B00-00001B000000}"/>
    <hyperlink ref="C17" r:id="rId29" xr:uid="{00000000-0004-0000-0B00-00001C000000}"/>
    <hyperlink ref="D17" r:id="rId30" xr:uid="{00000000-0004-0000-0B00-00001D000000}"/>
    <hyperlink ref="C18" r:id="rId31" xr:uid="{00000000-0004-0000-0B00-00001E000000}"/>
    <hyperlink ref="D18" r:id="rId32" xr:uid="{00000000-0004-0000-0B00-00001F000000}"/>
    <hyperlink ref="C19" r:id="rId33" xr:uid="{00000000-0004-0000-0B00-000020000000}"/>
    <hyperlink ref="D19" r:id="rId34" xr:uid="{00000000-0004-0000-0B00-000021000000}"/>
    <hyperlink ref="C20" r:id="rId35" xr:uid="{00000000-0004-0000-0B00-000022000000}"/>
    <hyperlink ref="D20" r:id="rId36" xr:uid="{00000000-0004-0000-0B00-000023000000}"/>
    <hyperlink ref="C21" r:id="rId37" xr:uid="{00000000-0004-0000-0B00-000024000000}"/>
    <hyperlink ref="D21" r:id="rId38" xr:uid="{00000000-0004-0000-0B00-000025000000}"/>
    <hyperlink ref="C22" r:id="rId39" xr:uid="{00000000-0004-0000-0B00-000026000000}"/>
    <hyperlink ref="D22" r:id="rId40" xr:uid="{00000000-0004-0000-0B00-000027000000}"/>
    <hyperlink ref="C23" r:id="rId41" xr:uid="{00000000-0004-0000-0B00-000028000000}"/>
    <hyperlink ref="C24" r:id="rId42" xr:uid="{00000000-0004-0000-0B00-000029000000}"/>
    <hyperlink ref="D24" r:id="rId43" xr:uid="{00000000-0004-0000-0B00-00002A000000}"/>
    <hyperlink ref="C25" r:id="rId44" xr:uid="{00000000-0004-0000-0B00-00002B000000}"/>
    <hyperlink ref="D25" r:id="rId45" xr:uid="{00000000-0004-0000-0B00-00002C000000}"/>
    <hyperlink ref="C26" r:id="rId46" xr:uid="{00000000-0004-0000-0B00-00002D000000}"/>
    <hyperlink ref="D26" r:id="rId47" xr:uid="{00000000-0004-0000-0B00-00002E000000}"/>
    <hyperlink ref="C27" r:id="rId48" xr:uid="{00000000-0004-0000-0B00-00002F000000}"/>
    <hyperlink ref="D27" r:id="rId49" xr:uid="{00000000-0004-0000-0B00-000030000000}"/>
    <hyperlink ref="C28" r:id="rId50" xr:uid="{00000000-0004-0000-0B00-000031000000}"/>
    <hyperlink ref="D28" r:id="rId51" xr:uid="{00000000-0004-0000-0B00-000032000000}"/>
    <hyperlink ref="C29" r:id="rId52" xr:uid="{00000000-0004-0000-0B00-000033000000}"/>
    <hyperlink ref="D29" r:id="rId53" xr:uid="{00000000-0004-0000-0B00-000034000000}"/>
    <hyperlink ref="D30" r:id="rId54" xr:uid="{00000000-0004-0000-0B00-000035000000}"/>
    <hyperlink ref="C31" r:id="rId55" xr:uid="{00000000-0004-0000-0B00-000036000000}"/>
    <hyperlink ref="D31" r:id="rId56" xr:uid="{00000000-0004-0000-0B00-000037000000}"/>
    <hyperlink ref="C32" r:id="rId57" xr:uid="{00000000-0004-0000-0B00-000038000000}"/>
    <hyperlink ref="D32" r:id="rId58" xr:uid="{00000000-0004-0000-0B00-000039000000}"/>
    <hyperlink ref="C33" r:id="rId59" xr:uid="{00000000-0004-0000-0B00-00003A000000}"/>
    <hyperlink ref="D33" r:id="rId60" xr:uid="{00000000-0004-0000-0B00-00003B000000}"/>
  </hyperlinks>
  <pageMargins left="0.75" right="0.75" top="1" bottom="1" header="0.5" footer="0.5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7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253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90</v>
      </c>
      <c r="C3" s="37" t="s">
        <v>2</v>
      </c>
      <c r="D3" s="37" t="s">
        <v>3</v>
      </c>
      <c r="E3" s="24" t="s">
        <v>36</v>
      </c>
      <c r="F3" s="63">
        <v>2.8587962962962963E-3</v>
      </c>
    </row>
    <row r="4" spans="1:6" ht="22" customHeight="1" x14ac:dyDescent="0.2">
      <c r="A4" s="39">
        <v>2</v>
      </c>
      <c r="B4" s="24" t="s">
        <v>49</v>
      </c>
      <c r="C4" s="37" t="s">
        <v>2</v>
      </c>
      <c r="D4" s="37" t="s">
        <v>3</v>
      </c>
      <c r="E4" s="24" t="s">
        <v>31</v>
      </c>
      <c r="F4" s="63">
        <v>2.1874999999999998E-3</v>
      </c>
    </row>
    <row r="5" spans="1:6" ht="22" customHeight="1" x14ac:dyDescent="0.2">
      <c r="A5" s="39">
        <v>3</v>
      </c>
      <c r="B5" s="24" t="s">
        <v>41</v>
      </c>
      <c r="C5" s="37" t="s">
        <v>2</v>
      </c>
      <c r="D5" s="37" t="s">
        <v>3</v>
      </c>
      <c r="E5" s="24" t="s">
        <v>39</v>
      </c>
      <c r="F5" s="63">
        <v>2.7199074074074074E-3</v>
      </c>
    </row>
    <row r="6" spans="1:6" ht="22" customHeight="1" x14ac:dyDescent="0.2">
      <c r="A6" s="39">
        <v>4</v>
      </c>
      <c r="B6" s="24" t="s">
        <v>106</v>
      </c>
      <c r="C6" s="37" t="s">
        <v>2</v>
      </c>
      <c r="D6" s="37" t="s">
        <v>3</v>
      </c>
      <c r="E6" s="24" t="s">
        <v>36</v>
      </c>
      <c r="F6" s="63">
        <v>3.3680555555555556E-3</v>
      </c>
    </row>
    <row r="7" spans="1:6" ht="22" customHeight="1" x14ac:dyDescent="0.2">
      <c r="A7" s="39">
        <v>5</v>
      </c>
      <c r="B7" s="24" t="s">
        <v>113</v>
      </c>
      <c r="C7" s="37" t="s">
        <v>2</v>
      </c>
      <c r="D7" s="37" t="s">
        <v>3</v>
      </c>
      <c r="E7" s="24" t="s">
        <v>31</v>
      </c>
      <c r="F7" s="63">
        <f>VLOOKUP(B7,'Song Tracker'!$A$3:$F$48,6,FALSE)</f>
        <v>2.0023148148148148E-3</v>
      </c>
    </row>
    <row r="8" spans="1:6" ht="22" customHeight="1" x14ac:dyDescent="0.2">
      <c r="A8" s="39">
        <v>6</v>
      </c>
      <c r="B8" s="24" t="s">
        <v>99</v>
      </c>
      <c r="C8" s="37" t="s">
        <v>2</v>
      </c>
      <c r="D8" s="37" t="s">
        <v>3</v>
      </c>
      <c r="E8" s="24" t="s">
        <v>39</v>
      </c>
      <c r="F8" s="63">
        <v>2.9513888888888888E-3</v>
      </c>
    </row>
    <row r="9" spans="1:6" ht="22" customHeight="1" x14ac:dyDescent="0.2">
      <c r="A9" s="39">
        <v>7</v>
      </c>
      <c r="B9" s="24" t="s">
        <v>116</v>
      </c>
      <c r="C9" s="37" t="s">
        <v>2</v>
      </c>
      <c r="D9" s="37" t="s">
        <v>3</v>
      </c>
      <c r="E9" s="24" t="s">
        <v>36</v>
      </c>
      <c r="F9" s="63">
        <v>2.2569444444444442E-3</v>
      </c>
    </row>
    <row r="10" spans="1:6" ht="22" customHeight="1" x14ac:dyDescent="0.2">
      <c r="A10" s="39">
        <v>8</v>
      </c>
      <c r="B10" s="24" t="s">
        <v>70</v>
      </c>
      <c r="C10" s="37" t="s">
        <v>2</v>
      </c>
      <c r="D10" s="37" t="s">
        <v>3</v>
      </c>
      <c r="E10" s="24" t="s">
        <v>31</v>
      </c>
      <c r="F10" s="63">
        <v>2.4305555555555556E-3</v>
      </c>
    </row>
    <row r="11" spans="1:6" ht="22" customHeight="1" x14ac:dyDescent="0.2">
      <c r="A11" s="39">
        <v>9</v>
      </c>
      <c r="B11" s="24" t="s">
        <v>94</v>
      </c>
      <c r="C11" s="37" t="s">
        <v>2</v>
      </c>
      <c r="D11" s="37" t="s">
        <v>3</v>
      </c>
      <c r="E11" s="24" t="s">
        <v>39</v>
      </c>
      <c r="F11" s="63">
        <v>3.5995370370370369E-3</v>
      </c>
    </row>
    <row r="12" spans="1:6" ht="22" customHeight="1" x14ac:dyDescent="0.2">
      <c r="A12" s="39">
        <v>10</v>
      </c>
      <c r="B12" s="24" t="s">
        <v>120</v>
      </c>
      <c r="C12" s="37" t="s">
        <v>2</v>
      </c>
      <c r="D12" s="37" t="s">
        <v>3</v>
      </c>
      <c r="E12" s="24" t="s">
        <v>31</v>
      </c>
      <c r="F12" s="63">
        <f>VLOOKUP(B12,'Song Tracker'!$A$3:$F$48,6,FALSE)</f>
        <v>2.0833333333333333E-3</v>
      </c>
    </row>
    <row r="13" spans="1:6" ht="22" customHeight="1" x14ac:dyDescent="0.2">
      <c r="A13" s="39">
        <v>11</v>
      </c>
      <c r="B13" s="24" t="s">
        <v>54</v>
      </c>
      <c r="C13" s="37" t="s">
        <v>2</v>
      </c>
      <c r="D13" s="37" t="s">
        <v>3</v>
      </c>
      <c r="E13" s="24" t="s">
        <v>39</v>
      </c>
      <c r="F13" s="63">
        <v>2.7430555555555554E-3</v>
      </c>
    </row>
    <row r="14" spans="1:6" ht="22" customHeight="1" x14ac:dyDescent="0.2">
      <c r="A14" s="39">
        <v>12</v>
      </c>
      <c r="B14" s="24" t="s">
        <v>92</v>
      </c>
      <c r="C14" s="37" t="s">
        <v>2</v>
      </c>
      <c r="D14" s="37" t="s">
        <v>3</v>
      </c>
      <c r="E14" s="24" t="s">
        <v>36</v>
      </c>
      <c r="F14" s="63">
        <v>2.0486111111111113E-3</v>
      </c>
    </row>
    <row r="15" spans="1:6" ht="22" customHeight="1" x14ac:dyDescent="0.2">
      <c r="A15" s="39">
        <v>13</v>
      </c>
      <c r="B15" s="24" t="s">
        <v>123</v>
      </c>
      <c r="C15" s="37" t="s">
        <v>2</v>
      </c>
      <c r="D15" s="37" t="s">
        <v>3</v>
      </c>
      <c r="E15" s="24" t="s">
        <v>36</v>
      </c>
      <c r="F15" s="63">
        <v>3.3217592592592595E-3</v>
      </c>
    </row>
    <row r="16" spans="1:6" x14ac:dyDescent="0.2">
      <c r="A16" s="28"/>
      <c r="B16" s="23"/>
      <c r="C16" s="30"/>
      <c r="D16" s="30"/>
      <c r="E16" s="23"/>
      <c r="F16" s="64"/>
    </row>
    <row r="17" spans="1:6" ht="22" customHeight="1" thickBot="1" x14ac:dyDescent="0.25">
      <c r="A17" s="33"/>
      <c r="B17" s="34" t="s">
        <v>244</v>
      </c>
      <c r="C17" s="35"/>
      <c r="D17" s="35"/>
      <c r="E17" s="34"/>
      <c r="F17" s="36">
        <f>SUM(F3:F16)</f>
        <v>3.4571759259259253E-2</v>
      </c>
    </row>
  </sheetData>
  <hyperlinks>
    <hyperlink ref="C3" r:id="rId1" xr:uid="{00000000-0004-0000-0C00-000000000000}"/>
    <hyperlink ref="D3" r:id="rId2" xr:uid="{00000000-0004-0000-0C00-000001000000}"/>
    <hyperlink ref="C4" r:id="rId3" xr:uid="{00000000-0004-0000-0C00-000002000000}"/>
    <hyperlink ref="D4" r:id="rId4" xr:uid="{00000000-0004-0000-0C00-000003000000}"/>
    <hyperlink ref="C5" r:id="rId5" xr:uid="{00000000-0004-0000-0C00-000004000000}"/>
    <hyperlink ref="D5" r:id="rId6" xr:uid="{00000000-0004-0000-0C00-000005000000}"/>
    <hyperlink ref="C6" r:id="rId7" xr:uid="{00000000-0004-0000-0C00-000006000000}"/>
    <hyperlink ref="D6" r:id="rId8" xr:uid="{00000000-0004-0000-0C00-000007000000}"/>
    <hyperlink ref="C7" r:id="rId9" xr:uid="{00000000-0004-0000-0C00-000008000000}"/>
    <hyperlink ref="D7" r:id="rId10" xr:uid="{00000000-0004-0000-0C00-000009000000}"/>
    <hyperlink ref="C8" r:id="rId11" xr:uid="{00000000-0004-0000-0C00-00000A000000}"/>
    <hyperlink ref="D8" r:id="rId12" xr:uid="{00000000-0004-0000-0C00-00000B000000}"/>
    <hyperlink ref="C9" r:id="rId13" xr:uid="{00000000-0004-0000-0C00-00000C000000}"/>
    <hyperlink ref="D9" r:id="rId14" xr:uid="{00000000-0004-0000-0C00-00000D000000}"/>
    <hyperlink ref="C10" r:id="rId15" xr:uid="{00000000-0004-0000-0C00-00000E000000}"/>
    <hyperlink ref="D10" r:id="rId16" xr:uid="{00000000-0004-0000-0C00-00000F000000}"/>
    <hyperlink ref="C11" r:id="rId17" xr:uid="{00000000-0004-0000-0C00-000010000000}"/>
    <hyperlink ref="D11" r:id="rId18" xr:uid="{00000000-0004-0000-0C00-000011000000}"/>
    <hyperlink ref="C12" r:id="rId19" xr:uid="{00000000-0004-0000-0C00-000012000000}"/>
    <hyperlink ref="D12" r:id="rId20" xr:uid="{00000000-0004-0000-0C00-000013000000}"/>
    <hyperlink ref="C13" r:id="rId21" xr:uid="{00000000-0004-0000-0C00-000014000000}"/>
    <hyperlink ref="D13" r:id="rId22" xr:uid="{00000000-0004-0000-0C00-000015000000}"/>
    <hyperlink ref="C14" r:id="rId23" xr:uid="{00000000-0004-0000-0C00-000016000000}"/>
    <hyperlink ref="D14" r:id="rId24" xr:uid="{00000000-0004-0000-0C00-000017000000}"/>
    <hyperlink ref="C15" r:id="rId25" xr:uid="{00000000-0004-0000-0C00-000018000000}"/>
    <hyperlink ref="D15" r:id="rId26" xr:uid="{00000000-0004-0000-0C00-000019000000}"/>
  </hyperlinks>
  <pageMargins left="0.75" right="0.75" top="1" bottom="1" header="0.5" footer="0.5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254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78</v>
      </c>
      <c r="C4" s="37" t="s">
        <v>2</v>
      </c>
      <c r="D4" s="37" t="s">
        <v>3</v>
      </c>
      <c r="E4" s="24" t="s">
        <v>39</v>
      </c>
      <c r="F4" s="63">
        <v>2.5810185185185185E-3</v>
      </c>
    </row>
    <row r="5" spans="1:6" ht="22" customHeight="1" x14ac:dyDescent="0.2">
      <c r="A5" s="39">
        <v>3</v>
      </c>
      <c r="B5" s="24" t="s">
        <v>99</v>
      </c>
      <c r="C5" s="37" t="s">
        <v>2</v>
      </c>
      <c r="D5" s="37" t="s">
        <v>3</v>
      </c>
      <c r="E5" s="24" t="s">
        <v>39</v>
      </c>
      <c r="F5" s="63">
        <v>2.9513888888888888E-3</v>
      </c>
    </row>
    <row r="6" spans="1:6" ht="22" customHeight="1" x14ac:dyDescent="0.2">
      <c r="A6" s="39">
        <v>5</v>
      </c>
      <c r="B6" s="24" t="s">
        <v>106</v>
      </c>
      <c r="C6" s="37" t="s">
        <v>2</v>
      </c>
      <c r="D6" s="37" t="s">
        <v>3</v>
      </c>
      <c r="E6" s="24" t="s">
        <v>36</v>
      </c>
      <c r="F6" s="63">
        <v>3.3680555555555556E-3</v>
      </c>
    </row>
    <row r="7" spans="1:6" ht="22" customHeight="1" x14ac:dyDescent="0.2">
      <c r="A7" s="39">
        <v>6</v>
      </c>
      <c r="B7" s="24" t="s">
        <v>28</v>
      </c>
      <c r="C7" s="38"/>
      <c r="D7" s="38"/>
      <c r="E7" s="24" t="s">
        <v>31</v>
      </c>
      <c r="F7" s="63">
        <f>VLOOKUP(B7,'Song Tracker'!$A$3:$F$48,6,FALSE)</f>
        <v>2.7662037037037039E-3</v>
      </c>
    </row>
    <row r="8" spans="1:6" ht="22" customHeight="1" x14ac:dyDescent="0.2">
      <c r="A8" s="39">
        <v>7</v>
      </c>
      <c r="B8" s="24" t="s">
        <v>70</v>
      </c>
      <c r="C8" s="37" t="s">
        <v>2</v>
      </c>
      <c r="D8" s="37" t="s">
        <v>3</v>
      </c>
      <c r="E8" s="24" t="s">
        <v>31</v>
      </c>
      <c r="F8" s="63">
        <v>2.4305555555555556E-3</v>
      </c>
    </row>
    <row r="9" spans="1:6" ht="22" customHeight="1" x14ac:dyDescent="0.2">
      <c r="A9" s="39">
        <v>8</v>
      </c>
      <c r="B9" s="24" t="s">
        <v>127</v>
      </c>
      <c r="C9" s="37" t="s">
        <v>2</v>
      </c>
      <c r="D9" s="37" t="s">
        <v>3</v>
      </c>
      <c r="E9" s="24" t="s">
        <v>31</v>
      </c>
      <c r="F9" s="63">
        <v>2.0949074074074073E-3</v>
      </c>
    </row>
    <row r="10" spans="1:6" ht="22" customHeight="1" x14ac:dyDescent="0.2">
      <c r="A10" s="39">
        <v>9</v>
      </c>
      <c r="B10" s="24" t="s">
        <v>63</v>
      </c>
      <c r="C10" s="37" t="s">
        <v>2</v>
      </c>
      <c r="D10" s="37" t="s">
        <v>3</v>
      </c>
      <c r="E10" s="24" t="s">
        <v>31</v>
      </c>
      <c r="F10" s="63">
        <v>2.7893518518518519E-3</v>
      </c>
    </row>
    <row r="11" spans="1:6" ht="22" customHeight="1" x14ac:dyDescent="0.2">
      <c r="A11" s="39">
        <v>10</v>
      </c>
      <c r="B11" s="24" t="s">
        <v>94</v>
      </c>
      <c r="C11" s="37" t="s">
        <v>2</v>
      </c>
      <c r="D11" s="37" t="s">
        <v>3</v>
      </c>
      <c r="E11" s="24" t="s">
        <v>39</v>
      </c>
      <c r="F11" s="63">
        <v>3.5995370370370369E-3</v>
      </c>
    </row>
    <row r="12" spans="1:6" ht="22" customHeight="1" x14ac:dyDescent="0.2">
      <c r="A12" s="39">
        <v>11</v>
      </c>
      <c r="B12" s="24" t="s">
        <v>80</v>
      </c>
      <c r="C12" s="38"/>
      <c r="D12" s="37" t="s">
        <v>3</v>
      </c>
      <c r="E12" s="24" t="s">
        <v>39</v>
      </c>
      <c r="F12" s="63">
        <f>VLOOKUP(B12,'Song Tracker'!$A$3:$F$48,6,FALSE)</f>
        <v>2.6041666666666665E-3</v>
      </c>
    </row>
    <row r="13" spans="1:6" ht="22" customHeight="1" x14ac:dyDescent="0.2">
      <c r="A13" s="39">
        <v>12</v>
      </c>
      <c r="B13" s="24" t="s">
        <v>101</v>
      </c>
      <c r="C13" s="37" t="s">
        <v>2</v>
      </c>
      <c r="D13" s="37" t="s">
        <v>3</v>
      </c>
      <c r="E13" s="24" t="s">
        <v>31</v>
      </c>
      <c r="F13" s="63">
        <v>4.1319444444444442E-3</v>
      </c>
    </row>
    <row r="14" spans="1:6" ht="22" customHeight="1" x14ac:dyDescent="0.2">
      <c r="A14" s="39">
        <v>13</v>
      </c>
      <c r="B14" s="24" t="s">
        <v>120</v>
      </c>
      <c r="C14" s="37" t="s">
        <v>2</v>
      </c>
      <c r="D14" s="37" t="s">
        <v>3</v>
      </c>
      <c r="E14" s="24" t="s">
        <v>31</v>
      </c>
      <c r="F14" s="63">
        <f>VLOOKUP(B14,'Song Tracker'!$A$3:$F$48,6,FALSE)</f>
        <v>2.0833333333333333E-3</v>
      </c>
    </row>
    <row r="15" spans="1:6" ht="22" customHeight="1" x14ac:dyDescent="0.2">
      <c r="A15" s="39">
        <v>14</v>
      </c>
      <c r="B15" s="24" t="s">
        <v>123</v>
      </c>
      <c r="C15" s="37" t="s">
        <v>2</v>
      </c>
      <c r="D15" s="37" t="s">
        <v>3</v>
      </c>
      <c r="E15" s="24" t="s">
        <v>36</v>
      </c>
      <c r="F15" s="63">
        <v>3.3217592592592595E-3</v>
      </c>
    </row>
    <row r="16" spans="1:6" ht="22" customHeight="1" x14ac:dyDescent="0.2">
      <c r="A16" s="39">
        <v>15</v>
      </c>
      <c r="B16" s="24" t="s">
        <v>124</v>
      </c>
      <c r="C16" s="38"/>
      <c r="D16" s="38"/>
      <c r="E16" s="24" t="s">
        <v>126</v>
      </c>
      <c r="F16" s="63"/>
    </row>
    <row r="17" spans="1:6" x14ac:dyDescent="0.2">
      <c r="A17" s="28"/>
      <c r="B17" s="23"/>
      <c r="C17" s="30"/>
      <c r="D17" s="30"/>
      <c r="E17" s="23"/>
      <c r="F17" s="64"/>
    </row>
    <row r="18" spans="1:6" ht="22" customHeight="1" thickBot="1" x14ac:dyDescent="0.25">
      <c r="A18" s="33"/>
      <c r="B18" s="34" t="s">
        <v>244</v>
      </c>
      <c r="C18" s="35"/>
      <c r="D18" s="35"/>
      <c r="E18" s="34"/>
      <c r="F18" s="36">
        <f>SUM(F3:F17)</f>
        <v>3.6909722222222219E-2</v>
      </c>
    </row>
  </sheetData>
  <hyperlinks>
    <hyperlink ref="C3" r:id="rId1" xr:uid="{00000000-0004-0000-0D00-000000000000}"/>
    <hyperlink ref="D3" r:id="rId2" xr:uid="{00000000-0004-0000-0D00-000001000000}"/>
    <hyperlink ref="C4" r:id="rId3" xr:uid="{00000000-0004-0000-0D00-000002000000}"/>
    <hyperlink ref="D4" r:id="rId4" xr:uid="{00000000-0004-0000-0D00-000003000000}"/>
    <hyperlink ref="C5" r:id="rId5" xr:uid="{00000000-0004-0000-0D00-000004000000}"/>
    <hyperlink ref="D5" r:id="rId6" xr:uid="{00000000-0004-0000-0D00-000005000000}"/>
    <hyperlink ref="C6" r:id="rId7" xr:uid="{00000000-0004-0000-0D00-000006000000}"/>
    <hyperlink ref="D6" r:id="rId8" xr:uid="{00000000-0004-0000-0D00-000007000000}"/>
    <hyperlink ref="C8" r:id="rId9" xr:uid="{00000000-0004-0000-0D00-000008000000}"/>
    <hyperlink ref="D8" r:id="rId10" xr:uid="{00000000-0004-0000-0D00-000009000000}"/>
    <hyperlink ref="C9" r:id="rId11" xr:uid="{00000000-0004-0000-0D00-00000A000000}"/>
    <hyperlink ref="D9" r:id="rId12" xr:uid="{00000000-0004-0000-0D00-00000B000000}"/>
    <hyperlink ref="C10" r:id="rId13" xr:uid="{00000000-0004-0000-0D00-00000C000000}"/>
    <hyperlink ref="D10" r:id="rId14" xr:uid="{00000000-0004-0000-0D00-00000D000000}"/>
    <hyperlink ref="C11" r:id="rId15" xr:uid="{00000000-0004-0000-0D00-00000E000000}"/>
    <hyperlink ref="D11" r:id="rId16" xr:uid="{00000000-0004-0000-0D00-00000F000000}"/>
    <hyperlink ref="D12" r:id="rId17" xr:uid="{00000000-0004-0000-0D00-000010000000}"/>
    <hyperlink ref="C13" r:id="rId18" xr:uid="{00000000-0004-0000-0D00-000011000000}"/>
    <hyperlink ref="D13" r:id="rId19" xr:uid="{00000000-0004-0000-0D00-000012000000}"/>
    <hyperlink ref="C14" r:id="rId20" xr:uid="{00000000-0004-0000-0D00-000013000000}"/>
    <hyperlink ref="D14" r:id="rId21" xr:uid="{00000000-0004-0000-0D00-000014000000}"/>
    <hyperlink ref="C15" r:id="rId22" xr:uid="{00000000-0004-0000-0D00-000015000000}"/>
    <hyperlink ref="D15" r:id="rId23" xr:uid="{00000000-0004-0000-0D00-000016000000}"/>
  </hyperlinks>
  <pageMargins left="0.75" right="0.75" top="1" bottom="1" header="0.5" footer="0.5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2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255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78</v>
      </c>
      <c r="C4" s="37" t="s">
        <v>2</v>
      </c>
      <c r="D4" s="37" t="s">
        <v>3</v>
      </c>
      <c r="E4" s="24" t="s">
        <v>39</v>
      </c>
      <c r="F4" s="63">
        <v>2.5810185185185185E-3</v>
      </c>
    </row>
    <row r="5" spans="1:6" ht="22" customHeight="1" x14ac:dyDescent="0.2">
      <c r="A5" s="39">
        <v>3</v>
      </c>
      <c r="B5" s="24" t="s">
        <v>99</v>
      </c>
      <c r="C5" s="37" t="s">
        <v>2</v>
      </c>
      <c r="D5" s="37" t="s">
        <v>3</v>
      </c>
      <c r="E5" s="24" t="s">
        <v>39</v>
      </c>
      <c r="F5" s="63">
        <v>2.9513888888888888E-3</v>
      </c>
    </row>
    <row r="6" spans="1:6" ht="22" customHeight="1" x14ac:dyDescent="0.2">
      <c r="A6" s="39">
        <v>4</v>
      </c>
      <c r="B6" s="24" t="s">
        <v>52</v>
      </c>
      <c r="C6" s="37" t="s">
        <v>2</v>
      </c>
      <c r="D6" s="37" t="s">
        <v>3</v>
      </c>
      <c r="E6" s="24" t="s">
        <v>31</v>
      </c>
      <c r="F6" s="63">
        <f>VLOOKUP(B6,'Song Tracker'!$A$3:$F$48,6,FALSE)</f>
        <v>5.5555555555555558E-3</v>
      </c>
    </row>
    <row r="7" spans="1:6" ht="22" customHeight="1" x14ac:dyDescent="0.2">
      <c r="A7" s="39">
        <v>5</v>
      </c>
      <c r="B7" s="24" t="s">
        <v>106</v>
      </c>
      <c r="C7" s="37" t="s">
        <v>2</v>
      </c>
      <c r="D7" s="37" t="s">
        <v>3</v>
      </c>
      <c r="E7" s="24" t="s">
        <v>36</v>
      </c>
      <c r="F7" s="63">
        <v>3.3680555555555556E-3</v>
      </c>
    </row>
    <row r="8" spans="1:6" ht="22" customHeight="1" x14ac:dyDescent="0.2">
      <c r="A8" s="39">
        <v>6</v>
      </c>
      <c r="B8" s="24" t="s">
        <v>114</v>
      </c>
      <c r="C8" s="37" t="s">
        <v>2</v>
      </c>
      <c r="D8" s="37" t="s">
        <v>3</v>
      </c>
      <c r="E8" s="24" t="s">
        <v>36</v>
      </c>
      <c r="F8" s="63">
        <v>3.4606481481481485E-3</v>
      </c>
    </row>
    <row r="9" spans="1:6" ht="22" customHeight="1" x14ac:dyDescent="0.2">
      <c r="A9" s="39">
        <v>7</v>
      </c>
      <c r="B9" s="24" t="s">
        <v>97</v>
      </c>
      <c r="C9" s="37" t="s">
        <v>2</v>
      </c>
      <c r="D9" s="37" t="s">
        <v>3</v>
      </c>
      <c r="E9" s="24" t="s">
        <v>31</v>
      </c>
      <c r="F9" s="63">
        <v>3.2291666666666666E-3</v>
      </c>
    </row>
    <row r="10" spans="1:6" ht="22" customHeight="1" x14ac:dyDescent="0.2">
      <c r="A10" s="39">
        <v>8</v>
      </c>
      <c r="B10" s="24" t="s">
        <v>28</v>
      </c>
      <c r="C10" s="38"/>
      <c r="D10" s="38"/>
      <c r="E10" s="24" t="s">
        <v>31</v>
      </c>
      <c r="F10" s="63">
        <f>VLOOKUP(B10,'Song Tracker'!$A$3:$F$48,6,FALSE)</f>
        <v>2.7662037037037039E-3</v>
      </c>
    </row>
    <row r="11" spans="1:6" ht="22" customHeight="1" x14ac:dyDescent="0.2">
      <c r="A11" s="39">
        <v>9</v>
      </c>
      <c r="B11" s="24" t="s">
        <v>70</v>
      </c>
      <c r="C11" s="37" t="s">
        <v>2</v>
      </c>
      <c r="D11" s="37" t="s">
        <v>3</v>
      </c>
      <c r="E11" s="24" t="s">
        <v>31</v>
      </c>
      <c r="F11" s="63">
        <v>2.4305555555555556E-3</v>
      </c>
    </row>
    <row r="12" spans="1:6" ht="22" customHeight="1" x14ac:dyDescent="0.2">
      <c r="A12" s="39">
        <v>10</v>
      </c>
      <c r="B12" s="24" t="s">
        <v>57</v>
      </c>
      <c r="C12" s="37" t="s">
        <v>2</v>
      </c>
      <c r="D12" s="37" t="s">
        <v>3</v>
      </c>
      <c r="E12" s="24" t="s">
        <v>39</v>
      </c>
      <c r="F12" s="63">
        <f>VLOOKUP(B12,'Song Tracker'!$A$3:$F$48,6,FALSE)</f>
        <v>2.3032407407407407E-3</v>
      </c>
    </row>
    <row r="13" spans="1:6" ht="22" customHeight="1" x14ac:dyDescent="0.2">
      <c r="A13" s="39">
        <v>11</v>
      </c>
      <c r="B13" s="24" t="s">
        <v>127</v>
      </c>
      <c r="C13" s="37" t="s">
        <v>2</v>
      </c>
      <c r="D13" s="37" t="s">
        <v>3</v>
      </c>
      <c r="E13" s="24" t="s">
        <v>31</v>
      </c>
      <c r="F13" s="63">
        <v>2.0949074074074073E-3</v>
      </c>
    </row>
    <row r="14" spans="1:6" ht="22" customHeight="1" x14ac:dyDescent="0.2">
      <c r="A14" s="39">
        <v>12</v>
      </c>
      <c r="B14" s="24" t="s">
        <v>92</v>
      </c>
      <c r="C14" s="37" t="s">
        <v>2</v>
      </c>
      <c r="D14" s="37" t="s">
        <v>3</v>
      </c>
      <c r="E14" s="24" t="s">
        <v>36</v>
      </c>
      <c r="F14" s="63">
        <v>2.0486111111111113E-3</v>
      </c>
    </row>
    <row r="15" spans="1:6" ht="22" customHeight="1" x14ac:dyDescent="0.2">
      <c r="A15" s="39">
        <v>13</v>
      </c>
      <c r="B15" s="24" t="s">
        <v>116</v>
      </c>
      <c r="C15" s="37" t="s">
        <v>2</v>
      </c>
      <c r="D15" s="37" t="s">
        <v>3</v>
      </c>
      <c r="E15" s="24" t="s">
        <v>36</v>
      </c>
      <c r="F15" s="63">
        <v>2.2569444444444442E-3</v>
      </c>
    </row>
    <row r="16" spans="1:6" ht="22" customHeight="1" x14ac:dyDescent="0.2">
      <c r="A16" s="39">
        <v>14</v>
      </c>
      <c r="B16" s="24" t="s">
        <v>63</v>
      </c>
      <c r="C16" s="37" t="s">
        <v>2</v>
      </c>
      <c r="D16" s="37" t="s">
        <v>3</v>
      </c>
      <c r="E16" s="24" t="s">
        <v>31</v>
      </c>
      <c r="F16" s="63">
        <v>2.7893518518518519E-3</v>
      </c>
    </row>
    <row r="17" spans="1:6" ht="22" customHeight="1" x14ac:dyDescent="0.2">
      <c r="A17" s="39">
        <v>15</v>
      </c>
      <c r="B17" s="24" t="s">
        <v>94</v>
      </c>
      <c r="C17" s="37" t="s">
        <v>2</v>
      </c>
      <c r="D17" s="37" t="s">
        <v>3</v>
      </c>
      <c r="E17" s="24" t="s">
        <v>39</v>
      </c>
      <c r="F17" s="63">
        <v>3.5995370370370369E-3</v>
      </c>
    </row>
    <row r="18" spans="1:6" ht="22" customHeight="1" x14ac:dyDescent="0.2">
      <c r="A18" s="39">
        <v>16</v>
      </c>
      <c r="B18" s="24" t="s">
        <v>65</v>
      </c>
      <c r="C18" s="37" t="s">
        <v>2</v>
      </c>
      <c r="D18" s="37" t="s">
        <v>3</v>
      </c>
      <c r="E18" s="24" t="s">
        <v>36</v>
      </c>
      <c r="F18" s="63">
        <v>2.488425925925926E-3</v>
      </c>
    </row>
    <row r="19" spans="1:6" ht="22" customHeight="1" x14ac:dyDescent="0.2">
      <c r="A19" s="39">
        <v>17</v>
      </c>
      <c r="B19" s="24" t="s">
        <v>80</v>
      </c>
      <c r="C19" s="38"/>
      <c r="D19" s="37" t="s">
        <v>3</v>
      </c>
      <c r="E19" s="24" t="s">
        <v>39</v>
      </c>
      <c r="F19" s="63">
        <f>VLOOKUP(B19,'Song Tracker'!$A$3:$F$48,6,FALSE)</f>
        <v>2.6041666666666665E-3</v>
      </c>
    </row>
    <row r="20" spans="1:6" ht="22" customHeight="1" x14ac:dyDescent="0.2">
      <c r="A20" s="39">
        <v>18</v>
      </c>
      <c r="B20" s="24" t="s">
        <v>85</v>
      </c>
      <c r="C20" s="37" t="s">
        <v>2</v>
      </c>
      <c r="D20" s="37" t="s">
        <v>3</v>
      </c>
      <c r="E20" s="24" t="s">
        <v>48</v>
      </c>
      <c r="F20" s="63">
        <v>1.9791666666666668E-3</v>
      </c>
    </row>
    <row r="21" spans="1:6" ht="22" customHeight="1" x14ac:dyDescent="0.2">
      <c r="A21" s="39">
        <v>19</v>
      </c>
      <c r="B21" s="24" t="s">
        <v>46</v>
      </c>
      <c r="C21" s="37" t="s">
        <v>2</v>
      </c>
      <c r="D21" s="37" t="s">
        <v>3</v>
      </c>
      <c r="E21" s="24" t="s">
        <v>48</v>
      </c>
      <c r="F21" s="63">
        <v>1.7476851851851852E-3</v>
      </c>
    </row>
    <row r="22" spans="1:6" ht="22" customHeight="1" x14ac:dyDescent="0.2">
      <c r="A22" s="39">
        <v>20</v>
      </c>
      <c r="B22" s="24" t="s">
        <v>247</v>
      </c>
      <c r="C22" s="37" t="s">
        <v>2</v>
      </c>
      <c r="D22" s="37" t="s">
        <v>3</v>
      </c>
      <c r="E22" s="24" t="s">
        <v>39</v>
      </c>
      <c r="F22" s="63">
        <v>2.5810185185185185E-3</v>
      </c>
    </row>
    <row r="23" spans="1:6" ht="22" customHeight="1" x14ac:dyDescent="0.2">
      <c r="A23" s="39">
        <v>21</v>
      </c>
      <c r="B23" s="24" t="s">
        <v>101</v>
      </c>
      <c r="C23" s="37" t="s">
        <v>2</v>
      </c>
      <c r="D23" s="37" t="s">
        <v>3</v>
      </c>
      <c r="E23" s="24" t="s">
        <v>31</v>
      </c>
      <c r="F23" s="63">
        <v>4.1319444444444442E-3</v>
      </c>
    </row>
    <row r="24" spans="1:6" ht="22" customHeight="1" x14ac:dyDescent="0.2">
      <c r="A24" s="39">
        <v>22</v>
      </c>
      <c r="B24" s="24" t="s">
        <v>82</v>
      </c>
      <c r="C24" s="37" t="s">
        <v>2</v>
      </c>
      <c r="D24" s="38"/>
      <c r="E24" s="24" t="s">
        <v>36</v>
      </c>
      <c r="F24" s="63">
        <v>3.8541666666666663E-3</v>
      </c>
    </row>
    <row r="25" spans="1:6" ht="22" customHeight="1" x14ac:dyDescent="0.2">
      <c r="A25" s="39">
        <v>23</v>
      </c>
      <c r="B25" s="24" t="s">
        <v>34</v>
      </c>
      <c r="C25" s="37" t="s">
        <v>2</v>
      </c>
      <c r="D25" s="37" t="s">
        <v>3</v>
      </c>
      <c r="E25" s="24" t="s">
        <v>36</v>
      </c>
      <c r="F25" s="63">
        <f>VLOOKUP(B25,'Song Tracker'!$A$3:$F$48,6,FALSE)</f>
        <v>3.9583333333333337E-3</v>
      </c>
    </row>
    <row r="26" spans="1:6" ht="22" customHeight="1" x14ac:dyDescent="0.2">
      <c r="A26" s="39">
        <v>24</v>
      </c>
      <c r="B26" s="24" t="s">
        <v>41</v>
      </c>
      <c r="C26" s="37" t="s">
        <v>2</v>
      </c>
      <c r="D26" s="37" t="s">
        <v>3</v>
      </c>
      <c r="E26" s="24" t="s">
        <v>39</v>
      </c>
      <c r="F26" s="63">
        <v>2.7199074074074074E-3</v>
      </c>
    </row>
    <row r="27" spans="1:6" ht="22" customHeight="1" x14ac:dyDescent="0.2">
      <c r="A27" s="39">
        <v>25</v>
      </c>
      <c r="B27" s="24" t="s">
        <v>120</v>
      </c>
      <c r="C27" s="37" t="s">
        <v>2</v>
      </c>
      <c r="D27" s="37" t="s">
        <v>3</v>
      </c>
      <c r="E27" s="24" t="s">
        <v>31</v>
      </c>
      <c r="F27" s="63">
        <f>VLOOKUP(B27,'Song Tracker'!$A$3:$F$48,6,FALSE)</f>
        <v>2.0833333333333333E-3</v>
      </c>
    </row>
    <row r="28" spans="1:6" ht="22" customHeight="1" x14ac:dyDescent="0.2">
      <c r="A28" s="39">
        <v>26</v>
      </c>
      <c r="B28" s="24" t="s">
        <v>74</v>
      </c>
      <c r="C28" s="37" t="s">
        <v>2</v>
      </c>
      <c r="D28" s="37" t="s">
        <v>3</v>
      </c>
      <c r="E28" s="24" t="s">
        <v>39</v>
      </c>
      <c r="F28" s="63">
        <v>4.6874999999999998E-3</v>
      </c>
    </row>
    <row r="29" spans="1:6" ht="22" customHeight="1" x14ac:dyDescent="0.2">
      <c r="A29" s="39">
        <v>27</v>
      </c>
      <c r="B29" s="24" t="s">
        <v>123</v>
      </c>
      <c r="C29" s="37" t="s">
        <v>2</v>
      </c>
      <c r="D29" s="37" t="s">
        <v>3</v>
      </c>
      <c r="E29" s="24" t="s">
        <v>36</v>
      </c>
      <c r="F29" s="63">
        <v>3.3217592592592595E-3</v>
      </c>
    </row>
    <row r="30" spans="1:6" ht="22" customHeight="1" x14ac:dyDescent="0.2">
      <c r="A30" s="39">
        <v>28</v>
      </c>
      <c r="B30" s="24" t="s">
        <v>103</v>
      </c>
      <c r="C30" s="37" t="s">
        <v>2</v>
      </c>
      <c r="D30" s="37" t="s">
        <v>3</v>
      </c>
      <c r="E30" s="24" t="s">
        <v>31</v>
      </c>
      <c r="F30" s="63">
        <v>5.9606481481481481E-3</v>
      </c>
    </row>
    <row r="31" spans="1:6" x14ac:dyDescent="0.2">
      <c r="A31" s="28"/>
      <c r="B31" s="23"/>
      <c r="C31" s="30"/>
      <c r="D31" s="30"/>
      <c r="E31" s="23"/>
      <c r="F31" s="64"/>
    </row>
    <row r="32" spans="1:6" ht="22" customHeight="1" thickBot="1" x14ac:dyDescent="0.25">
      <c r="A32" s="33"/>
      <c r="B32" s="34" t="s">
        <v>244</v>
      </c>
      <c r="C32" s="35"/>
      <c r="D32" s="35"/>
      <c r="E32" s="34"/>
      <c r="F32" s="36">
        <f>SUM(F3:F31)</f>
        <v>8.5740740740740742E-2</v>
      </c>
    </row>
  </sheetData>
  <hyperlinks>
    <hyperlink ref="C3" r:id="rId1" xr:uid="{00000000-0004-0000-0E00-000000000000}"/>
    <hyperlink ref="D3" r:id="rId2" xr:uid="{00000000-0004-0000-0E00-000001000000}"/>
    <hyperlink ref="C4" r:id="rId3" xr:uid="{00000000-0004-0000-0E00-000002000000}"/>
    <hyperlink ref="D4" r:id="rId4" xr:uid="{00000000-0004-0000-0E00-000003000000}"/>
    <hyperlink ref="C5" r:id="rId5" xr:uid="{00000000-0004-0000-0E00-000004000000}"/>
    <hyperlink ref="D5" r:id="rId6" xr:uid="{00000000-0004-0000-0E00-000005000000}"/>
    <hyperlink ref="C6" r:id="rId7" xr:uid="{00000000-0004-0000-0E00-000006000000}"/>
    <hyperlink ref="D6" r:id="rId8" xr:uid="{00000000-0004-0000-0E00-000007000000}"/>
    <hyperlink ref="C7" r:id="rId9" xr:uid="{00000000-0004-0000-0E00-000008000000}"/>
    <hyperlink ref="D7" r:id="rId10" xr:uid="{00000000-0004-0000-0E00-000009000000}"/>
    <hyperlink ref="C8" r:id="rId11" xr:uid="{00000000-0004-0000-0E00-00000A000000}"/>
    <hyperlink ref="D8" r:id="rId12" xr:uid="{00000000-0004-0000-0E00-00000B000000}"/>
    <hyperlink ref="C9" r:id="rId13" xr:uid="{00000000-0004-0000-0E00-00000C000000}"/>
    <hyperlink ref="D9" r:id="rId14" xr:uid="{00000000-0004-0000-0E00-00000D000000}"/>
    <hyperlink ref="C11" r:id="rId15" xr:uid="{00000000-0004-0000-0E00-00000E000000}"/>
    <hyperlink ref="D11" r:id="rId16" xr:uid="{00000000-0004-0000-0E00-00000F000000}"/>
    <hyperlink ref="C12" r:id="rId17" xr:uid="{00000000-0004-0000-0E00-000010000000}"/>
    <hyperlink ref="D12" r:id="rId18" xr:uid="{00000000-0004-0000-0E00-000011000000}"/>
    <hyperlink ref="C13" r:id="rId19" xr:uid="{00000000-0004-0000-0E00-000012000000}"/>
    <hyperlink ref="D13" r:id="rId20" xr:uid="{00000000-0004-0000-0E00-000013000000}"/>
    <hyperlink ref="C14" r:id="rId21" xr:uid="{00000000-0004-0000-0E00-000014000000}"/>
    <hyperlink ref="D14" r:id="rId22" xr:uid="{00000000-0004-0000-0E00-000015000000}"/>
    <hyperlink ref="C15" r:id="rId23" xr:uid="{00000000-0004-0000-0E00-000016000000}"/>
    <hyperlink ref="D15" r:id="rId24" xr:uid="{00000000-0004-0000-0E00-000017000000}"/>
    <hyperlink ref="C16" r:id="rId25" xr:uid="{00000000-0004-0000-0E00-000018000000}"/>
    <hyperlink ref="D16" r:id="rId26" xr:uid="{00000000-0004-0000-0E00-000019000000}"/>
    <hyperlink ref="C17" r:id="rId27" xr:uid="{00000000-0004-0000-0E00-00001A000000}"/>
    <hyperlink ref="D17" r:id="rId28" xr:uid="{00000000-0004-0000-0E00-00001B000000}"/>
    <hyperlink ref="C18" r:id="rId29" xr:uid="{00000000-0004-0000-0E00-00001C000000}"/>
    <hyperlink ref="D18" r:id="rId30" xr:uid="{00000000-0004-0000-0E00-00001D000000}"/>
    <hyperlink ref="D19" r:id="rId31" xr:uid="{00000000-0004-0000-0E00-00001E000000}"/>
    <hyperlink ref="C20" r:id="rId32" xr:uid="{00000000-0004-0000-0E00-00001F000000}"/>
    <hyperlink ref="D20" r:id="rId33" xr:uid="{00000000-0004-0000-0E00-000020000000}"/>
    <hyperlink ref="C21" r:id="rId34" xr:uid="{00000000-0004-0000-0E00-000021000000}"/>
    <hyperlink ref="D21" r:id="rId35" xr:uid="{00000000-0004-0000-0E00-000022000000}"/>
    <hyperlink ref="C22" r:id="rId36" xr:uid="{00000000-0004-0000-0E00-000023000000}"/>
    <hyperlink ref="D22" r:id="rId37" xr:uid="{00000000-0004-0000-0E00-000024000000}"/>
    <hyperlink ref="C23" r:id="rId38" xr:uid="{00000000-0004-0000-0E00-000025000000}"/>
    <hyperlink ref="D23" r:id="rId39" xr:uid="{00000000-0004-0000-0E00-000026000000}"/>
    <hyperlink ref="C24" r:id="rId40" xr:uid="{00000000-0004-0000-0E00-000027000000}"/>
    <hyperlink ref="C25" r:id="rId41" xr:uid="{00000000-0004-0000-0E00-000028000000}"/>
    <hyperlink ref="D25" r:id="rId42" xr:uid="{00000000-0004-0000-0E00-000029000000}"/>
    <hyperlink ref="C26" r:id="rId43" xr:uid="{00000000-0004-0000-0E00-00002A000000}"/>
    <hyperlink ref="D26" r:id="rId44" xr:uid="{00000000-0004-0000-0E00-00002B000000}"/>
    <hyperlink ref="C27" r:id="rId45" xr:uid="{00000000-0004-0000-0E00-00002C000000}"/>
    <hyperlink ref="D27" r:id="rId46" xr:uid="{00000000-0004-0000-0E00-00002D000000}"/>
    <hyperlink ref="C28" r:id="rId47" xr:uid="{00000000-0004-0000-0E00-00002E000000}"/>
    <hyperlink ref="D28" r:id="rId48" xr:uid="{00000000-0004-0000-0E00-00002F000000}"/>
    <hyperlink ref="C29" r:id="rId49" xr:uid="{00000000-0004-0000-0E00-000030000000}"/>
    <hyperlink ref="D29" r:id="rId50" xr:uid="{00000000-0004-0000-0E00-000031000000}"/>
    <hyperlink ref="C30" r:id="rId51" xr:uid="{00000000-0004-0000-0E00-000032000000}"/>
    <hyperlink ref="D30" r:id="rId52" xr:uid="{00000000-0004-0000-0E00-000033000000}"/>
  </hyperlinks>
  <pageMargins left="0.75" right="0.75" top="1" bottom="1" header="0.5" footer="0.5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4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256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78</v>
      </c>
      <c r="C4" s="37" t="s">
        <v>2</v>
      </c>
      <c r="D4" s="37" t="s">
        <v>3</v>
      </c>
      <c r="E4" s="24" t="s">
        <v>39</v>
      </c>
      <c r="F4" s="63">
        <v>2.5810185185185185E-3</v>
      </c>
    </row>
    <row r="5" spans="1:6" ht="22" customHeight="1" x14ac:dyDescent="0.2">
      <c r="A5" s="39">
        <v>3</v>
      </c>
      <c r="B5" s="24" t="s">
        <v>99</v>
      </c>
      <c r="C5" s="37" t="s">
        <v>2</v>
      </c>
      <c r="D5" s="37" t="s">
        <v>3</v>
      </c>
      <c r="E5" s="24" t="s">
        <v>39</v>
      </c>
      <c r="F5" s="63">
        <v>2.9513888888888888E-3</v>
      </c>
    </row>
    <row r="6" spans="1:6" ht="22" customHeight="1" x14ac:dyDescent="0.2">
      <c r="A6" s="39">
        <v>4</v>
      </c>
      <c r="B6" s="24" t="s">
        <v>52</v>
      </c>
      <c r="C6" s="37" t="s">
        <v>2</v>
      </c>
      <c r="D6" s="37" t="s">
        <v>3</v>
      </c>
      <c r="E6" s="24" t="s">
        <v>31</v>
      </c>
      <c r="F6" s="63">
        <f>VLOOKUP(B6,'Song Tracker'!$A$3:$F$48,6,FALSE)</f>
        <v>5.5555555555555558E-3</v>
      </c>
    </row>
    <row r="7" spans="1:6" ht="22" customHeight="1" x14ac:dyDescent="0.2">
      <c r="A7" s="39">
        <v>5</v>
      </c>
      <c r="B7" s="24" t="s">
        <v>106</v>
      </c>
      <c r="C7" s="37" t="s">
        <v>2</v>
      </c>
      <c r="D7" s="37" t="s">
        <v>3</v>
      </c>
      <c r="E7" s="24" t="s">
        <v>36</v>
      </c>
      <c r="F7" s="63">
        <v>3.3680555555555556E-3</v>
      </c>
    </row>
    <row r="8" spans="1:6" ht="22" customHeight="1" x14ac:dyDescent="0.2">
      <c r="A8" s="39">
        <v>6</v>
      </c>
      <c r="B8" s="24" t="s">
        <v>114</v>
      </c>
      <c r="C8" s="37" t="s">
        <v>2</v>
      </c>
      <c r="D8" s="37" t="s">
        <v>3</v>
      </c>
      <c r="E8" s="24" t="s">
        <v>36</v>
      </c>
      <c r="F8" s="63">
        <v>3.4606481481481485E-3</v>
      </c>
    </row>
    <row r="9" spans="1:6" ht="22" customHeight="1" x14ac:dyDescent="0.2">
      <c r="A9" s="39">
        <v>7</v>
      </c>
      <c r="B9" s="24" t="s">
        <v>57</v>
      </c>
      <c r="C9" s="37" t="s">
        <v>2</v>
      </c>
      <c r="D9" s="37" t="s">
        <v>3</v>
      </c>
      <c r="E9" s="24" t="s">
        <v>39</v>
      </c>
      <c r="F9" s="63">
        <f>VLOOKUP(B9,'Song Tracker'!$A$3:$F$48,6,FALSE)</f>
        <v>2.3032407407407407E-3</v>
      </c>
    </row>
    <row r="10" spans="1:6" ht="22" customHeight="1" x14ac:dyDescent="0.2">
      <c r="A10" s="39">
        <v>8</v>
      </c>
      <c r="B10" s="24" t="s">
        <v>92</v>
      </c>
      <c r="C10" s="37" t="s">
        <v>2</v>
      </c>
      <c r="D10" s="37" t="s">
        <v>3</v>
      </c>
      <c r="E10" s="24" t="s">
        <v>36</v>
      </c>
      <c r="F10" s="63">
        <v>2.0486111111111113E-3</v>
      </c>
    </row>
    <row r="11" spans="1:6" ht="22" customHeight="1" x14ac:dyDescent="0.2">
      <c r="A11" s="39">
        <v>9</v>
      </c>
      <c r="B11" s="24" t="s">
        <v>70</v>
      </c>
      <c r="C11" s="37" t="s">
        <v>2</v>
      </c>
      <c r="D11" s="37" t="s">
        <v>3</v>
      </c>
      <c r="E11" s="24" t="s">
        <v>31</v>
      </c>
      <c r="F11" s="63">
        <v>2.4305555555555556E-3</v>
      </c>
    </row>
    <row r="12" spans="1:6" ht="22" customHeight="1" x14ac:dyDescent="0.2">
      <c r="A12" s="39">
        <v>10</v>
      </c>
      <c r="B12" s="24" t="s">
        <v>116</v>
      </c>
      <c r="C12" s="37" t="s">
        <v>2</v>
      </c>
      <c r="D12" s="37" t="s">
        <v>3</v>
      </c>
      <c r="E12" s="24" t="s">
        <v>36</v>
      </c>
      <c r="F12" s="63">
        <v>2.2569444444444442E-3</v>
      </c>
    </row>
    <row r="13" spans="1:6" ht="22" customHeight="1" x14ac:dyDescent="0.2">
      <c r="A13" s="39">
        <v>11</v>
      </c>
      <c r="B13" s="24" t="s">
        <v>63</v>
      </c>
      <c r="C13" s="37" t="s">
        <v>2</v>
      </c>
      <c r="D13" s="37" t="s">
        <v>3</v>
      </c>
      <c r="E13" s="24" t="s">
        <v>31</v>
      </c>
      <c r="F13" s="63">
        <v>2.7893518518518519E-3</v>
      </c>
    </row>
    <row r="14" spans="1:6" ht="22" customHeight="1" x14ac:dyDescent="0.2">
      <c r="A14" s="39">
        <v>12</v>
      </c>
      <c r="B14" s="24" t="s">
        <v>94</v>
      </c>
      <c r="C14" s="37" t="s">
        <v>2</v>
      </c>
      <c r="D14" s="37" t="s">
        <v>3</v>
      </c>
      <c r="E14" s="24" t="s">
        <v>39</v>
      </c>
      <c r="F14" s="63">
        <v>3.5995370370370369E-3</v>
      </c>
    </row>
    <row r="15" spans="1:6" ht="22" customHeight="1" x14ac:dyDescent="0.2">
      <c r="A15" s="39">
        <v>13</v>
      </c>
      <c r="B15" s="24" t="s">
        <v>80</v>
      </c>
      <c r="C15" s="38"/>
      <c r="D15" s="37" t="s">
        <v>3</v>
      </c>
      <c r="E15" s="24" t="s">
        <v>39</v>
      </c>
      <c r="F15" s="63">
        <f>VLOOKUP(B15,'Song Tracker'!$A$3:$F$48,6,FALSE)</f>
        <v>2.6041666666666665E-3</v>
      </c>
    </row>
    <row r="16" spans="1:6" ht="22" customHeight="1" x14ac:dyDescent="0.2">
      <c r="A16" s="39">
        <v>14</v>
      </c>
      <c r="B16" s="24" t="s">
        <v>85</v>
      </c>
      <c r="C16" s="37" t="s">
        <v>2</v>
      </c>
      <c r="D16" s="37" t="s">
        <v>3</v>
      </c>
      <c r="E16" s="24" t="s">
        <v>48</v>
      </c>
      <c r="F16" s="63">
        <v>1.9791666666666668E-3</v>
      </c>
    </row>
    <row r="17" spans="1:6" ht="22" customHeight="1" x14ac:dyDescent="0.2">
      <c r="A17" s="39">
        <v>15</v>
      </c>
      <c r="B17" s="24" t="s">
        <v>46</v>
      </c>
      <c r="C17" s="37" t="s">
        <v>2</v>
      </c>
      <c r="D17" s="37" t="s">
        <v>3</v>
      </c>
      <c r="E17" s="24" t="s">
        <v>48</v>
      </c>
      <c r="F17" s="63">
        <v>1.7476851851851852E-3</v>
      </c>
    </row>
    <row r="18" spans="1:6" ht="22" customHeight="1" x14ac:dyDescent="0.2">
      <c r="A18" s="39">
        <v>16</v>
      </c>
      <c r="B18" s="24" t="s">
        <v>101</v>
      </c>
      <c r="C18" s="37" t="s">
        <v>2</v>
      </c>
      <c r="D18" s="37" t="s">
        <v>3</v>
      </c>
      <c r="E18" s="24" t="s">
        <v>31</v>
      </c>
      <c r="F18" s="63">
        <v>4.1319444444444442E-3</v>
      </c>
    </row>
    <row r="19" spans="1:6" ht="22" customHeight="1" x14ac:dyDescent="0.2">
      <c r="A19" s="39">
        <v>17</v>
      </c>
      <c r="B19" s="24" t="s">
        <v>82</v>
      </c>
      <c r="C19" s="37" t="s">
        <v>2</v>
      </c>
      <c r="D19" s="38"/>
      <c r="E19" s="24" t="s">
        <v>36</v>
      </c>
      <c r="F19" s="63">
        <v>3.8541666666666663E-3</v>
      </c>
    </row>
    <row r="20" spans="1:6" ht="22" customHeight="1" x14ac:dyDescent="0.2">
      <c r="A20" s="39">
        <v>18</v>
      </c>
      <c r="B20" s="24" t="s">
        <v>74</v>
      </c>
      <c r="C20" s="37" t="s">
        <v>2</v>
      </c>
      <c r="D20" s="37" t="s">
        <v>3</v>
      </c>
      <c r="E20" s="24" t="s">
        <v>39</v>
      </c>
      <c r="F20" s="63">
        <v>4.6874999999999998E-3</v>
      </c>
    </row>
    <row r="21" spans="1:6" ht="22" customHeight="1" x14ac:dyDescent="0.2">
      <c r="A21" s="39">
        <v>19</v>
      </c>
      <c r="B21" s="24" t="s">
        <v>123</v>
      </c>
      <c r="C21" s="37" t="s">
        <v>2</v>
      </c>
      <c r="D21" s="37" t="s">
        <v>3</v>
      </c>
      <c r="E21" s="24" t="s">
        <v>36</v>
      </c>
      <c r="F21" s="63">
        <v>3.3217592592592595E-3</v>
      </c>
    </row>
    <row r="22" spans="1:6" ht="22" customHeight="1" x14ac:dyDescent="0.2">
      <c r="A22" s="39" t="s">
        <v>257</v>
      </c>
      <c r="B22" s="24" t="s">
        <v>103</v>
      </c>
      <c r="C22" s="37" t="s">
        <v>2</v>
      </c>
      <c r="D22" s="37" t="s">
        <v>3</v>
      </c>
      <c r="E22" s="24" t="s">
        <v>31</v>
      </c>
      <c r="F22" s="63">
        <v>5.9606481481481481E-3</v>
      </c>
    </row>
    <row r="23" spans="1:6" x14ac:dyDescent="0.2">
      <c r="A23" s="28"/>
      <c r="B23" s="23"/>
      <c r="C23" s="30"/>
      <c r="D23" s="30"/>
      <c r="E23" s="23"/>
      <c r="F23" s="64"/>
    </row>
    <row r="24" spans="1:6" ht="22" customHeight="1" thickBot="1" x14ac:dyDescent="0.25">
      <c r="A24" s="33"/>
      <c r="B24" s="34" t="s">
        <v>244</v>
      </c>
      <c r="C24" s="35"/>
      <c r="D24" s="35"/>
      <c r="E24" s="34"/>
      <c r="F24" s="36">
        <f>SUM(F3:F23)</f>
        <v>6.3819444444444443E-2</v>
      </c>
    </row>
  </sheetData>
  <hyperlinks>
    <hyperlink ref="C3" r:id="rId1" xr:uid="{00000000-0004-0000-0F00-000000000000}"/>
    <hyperlink ref="D3" r:id="rId2" xr:uid="{00000000-0004-0000-0F00-000001000000}"/>
    <hyperlink ref="C4" r:id="rId3" xr:uid="{00000000-0004-0000-0F00-000002000000}"/>
    <hyperlink ref="D4" r:id="rId4" xr:uid="{00000000-0004-0000-0F00-000003000000}"/>
    <hyperlink ref="C5" r:id="rId5" xr:uid="{00000000-0004-0000-0F00-000004000000}"/>
    <hyperlink ref="D5" r:id="rId6" xr:uid="{00000000-0004-0000-0F00-000005000000}"/>
    <hyperlink ref="C6" r:id="rId7" xr:uid="{00000000-0004-0000-0F00-000006000000}"/>
    <hyperlink ref="D6" r:id="rId8" xr:uid="{00000000-0004-0000-0F00-000007000000}"/>
    <hyperlink ref="C7" r:id="rId9" xr:uid="{00000000-0004-0000-0F00-000008000000}"/>
    <hyperlink ref="D7" r:id="rId10" xr:uid="{00000000-0004-0000-0F00-000009000000}"/>
    <hyperlink ref="C8" r:id="rId11" xr:uid="{00000000-0004-0000-0F00-00000A000000}"/>
    <hyperlink ref="D8" r:id="rId12" xr:uid="{00000000-0004-0000-0F00-00000B000000}"/>
    <hyperlink ref="C9" r:id="rId13" xr:uid="{00000000-0004-0000-0F00-00000C000000}"/>
    <hyperlink ref="D9" r:id="rId14" xr:uid="{00000000-0004-0000-0F00-00000D000000}"/>
    <hyperlink ref="C10" r:id="rId15" xr:uid="{00000000-0004-0000-0F00-00000E000000}"/>
    <hyperlink ref="D10" r:id="rId16" xr:uid="{00000000-0004-0000-0F00-00000F000000}"/>
    <hyperlink ref="C11" r:id="rId17" xr:uid="{00000000-0004-0000-0F00-000010000000}"/>
    <hyperlink ref="D11" r:id="rId18" xr:uid="{00000000-0004-0000-0F00-000011000000}"/>
    <hyperlink ref="C12" r:id="rId19" xr:uid="{00000000-0004-0000-0F00-000012000000}"/>
    <hyperlink ref="D12" r:id="rId20" xr:uid="{00000000-0004-0000-0F00-000013000000}"/>
    <hyperlink ref="C13" r:id="rId21" xr:uid="{00000000-0004-0000-0F00-000014000000}"/>
    <hyperlink ref="D13" r:id="rId22" xr:uid="{00000000-0004-0000-0F00-000015000000}"/>
    <hyperlink ref="C14" r:id="rId23" xr:uid="{00000000-0004-0000-0F00-000016000000}"/>
    <hyperlink ref="D14" r:id="rId24" xr:uid="{00000000-0004-0000-0F00-000017000000}"/>
    <hyperlink ref="D15" r:id="rId25" xr:uid="{00000000-0004-0000-0F00-000018000000}"/>
    <hyperlink ref="C16" r:id="rId26" xr:uid="{00000000-0004-0000-0F00-000019000000}"/>
    <hyperlink ref="D16" r:id="rId27" xr:uid="{00000000-0004-0000-0F00-00001A000000}"/>
    <hyperlink ref="C17" r:id="rId28" xr:uid="{00000000-0004-0000-0F00-00001B000000}"/>
    <hyperlink ref="D17" r:id="rId29" xr:uid="{00000000-0004-0000-0F00-00001C000000}"/>
    <hyperlink ref="C18" r:id="rId30" xr:uid="{00000000-0004-0000-0F00-00001D000000}"/>
    <hyperlink ref="D18" r:id="rId31" xr:uid="{00000000-0004-0000-0F00-00001E000000}"/>
    <hyperlink ref="C19" r:id="rId32" xr:uid="{00000000-0004-0000-0F00-00001F000000}"/>
    <hyperlink ref="C20" r:id="rId33" xr:uid="{00000000-0004-0000-0F00-000020000000}"/>
    <hyperlink ref="D20" r:id="rId34" xr:uid="{00000000-0004-0000-0F00-000021000000}"/>
    <hyperlink ref="C21" r:id="rId35" xr:uid="{00000000-0004-0000-0F00-000022000000}"/>
    <hyperlink ref="D21" r:id="rId36" xr:uid="{00000000-0004-0000-0F00-000023000000}"/>
    <hyperlink ref="C22" r:id="rId37" xr:uid="{00000000-0004-0000-0F00-000024000000}"/>
    <hyperlink ref="D22" r:id="rId38" xr:uid="{00000000-0004-0000-0F00-000025000000}"/>
  </hyperlinks>
  <pageMargins left="0.75" right="0.75" top="1" bottom="1" header="0.5" footer="0.5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258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120</v>
      </c>
      <c r="C3" s="37" t="s">
        <v>2</v>
      </c>
      <c r="D3" s="37" t="s">
        <v>3</v>
      </c>
      <c r="E3" s="24" t="s">
        <v>31</v>
      </c>
      <c r="F3" s="63">
        <f>VLOOKUP(B3,'Song Tracker'!$A$3:$F$48,6,FALSE)</f>
        <v>2.0833333333333333E-3</v>
      </c>
    </row>
    <row r="4" spans="1:6" ht="22" customHeight="1" x14ac:dyDescent="0.2">
      <c r="A4" s="39">
        <v>2</v>
      </c>
      <c r="B4" s="24" t="s">
        <v>99</v>
      </c>
      <c r="C4" s="37" t="s">
        <v>2</v>
      </c>
      <c r="D4" s="37" t="s">
        <v>3</v>
      </c>
      <c r="E4" s="24" t="s">
        <v>39</v>
      </c>
      <c r="F4" s="63">
        <v>2.9513888888888888E-3</v>
      </c>
    </row>
    <row r="5" spans="1:6" ht="22" customHeight="1" x14ac:dyDescent="0.2">
      <c r="A5" s="39">
        <v>3</v>
      </c>
      <c r="B5" s="24" t="s">
        <v>78</v>
      </c>
      <c r="C5" s="37" t="s">
        <v>2</v>
      </c>
      <c r="D5" s="37" t="s">
        <v>3</v>
      </c>
      <c r="E5" s="24" t="s">
        <v>39</v>
      </c>
      <c r="F5" s="63">
        <v>2.5810185185185185E-3</v>
      </c>
    </row>
    <row r="6" spans="1:6" ht="22" customHeight="1" x14ac:dyDescent="0.2">
      <c r="A6" s="39">
        <v>4</v>
      </c>
      <c r="B6" s="24" t="s">
        <v>94</v>
      </c>
      <c r="C6" s="37" t="s">
        <v>2</v>
      </c>
      <c r="D6" s="37" t="s">
        <v>3</v>
      </c>
      <c r="E6" s="24" t="s">
        <v>39</v>
      </c>
      <c r="F6" s="63">
        <v>3.5995370370370369E-3</v>
      </c>
    </row>
    <row r="7" spans="1:6" ht="22" customHeight="1" x14ac:dyDescent="0.2">
      <c r="A7" s="39">
        <v>5</v>
      </c>
      <c r="B7" s="24" t="s">
        <v>46</v>
      </c>
      <c r="C7" s="37" t="s">
        <v>2</v>
      </c>
      <c r="D7" s="37" t="s">
        <v>3</v>
      </c>
      <c r="E7" s="24" t="s">
        <v>48</v>
      </c>
      <c r="F7" s="63">
        <v>1.7476851851851852E-3</v>
      </c>
    </row>
    <row r="8" spans="1:6" ht="22" customHeight="1" x14ac:dyDescent="0.2">
      <c r="A8" s="39">
        <v>6</v>
      </c>
      <c r="B8" s="24" t="s">
        <v>106</v>
      </c>
      <c r="C8" s="37" t="s">
        <v>2</v>
      </c>
      <c r="D8" s="37" t="s">
        <v>3</v>
      </c>
      <c r="E8" s="24" t="s">
        <v>36</v>
      </c>
      <c r="F8" s="63">
        <v>3.3680555555555556E-3</v>
      </c>
    </row>
    <row r="9" spans="1:6" ht="22" customHeight="1" x14ac:dyDescent="0.2">
      <c r="A9" s="39">
        <v>7</v>
      </c>
      <c r="B9" s="24" t="s">
        <v>63</v>
      </c>
      <c r="C9" s="37" t="s">
        <v>2</v>
      </c>
      <c r="D9" s="37" t="s">
        <v>3</v>
      </c>
      <c r="E9" s="24" t="s">
        <v>31</v>
      </c>
      <c r="F9" s="63">
        <v>2.7893518518518519E-3</v>
      </c>
    </row>
    <row r="10" spans="1:6" ht="22" customHeight="1" x14ac:dyDescent="0.2">
      <c r="A10" s="39">
        <v>8</v>
      </c>
      <c r="B10" s="24" t="s">
        <v>80</v>
      </c>
      <c r="C10" s="38"/>
      <c r="D10" s="37" t="s">
        <v>3</v>
      </c>
      <c r="E10" s="24" t="s">
        <v>39</v>
      </c>
      <c r="F10" s="63">
        <f>VLOOKUP(B10,'Song Tracker'!$A$3:$F$48,6,FALSE)</f>
        <v>2.6041666666666665E-3</v>
      </c>
    </row>
    <row r="11" spans="1:6" ht="22" customHeight="1" x14ac:dyDescent="0.2">
      <c r="A11" s="39">
        <v>9</v>
      </c>
      <c r="B11" s="24" t="s">
        <v>49</v>
      </c>
      <c r="C11" s="37" t="s">
        <v>2</v>
      </c>
      <c r="D11" s="37" t="s">
        <v>3</v>
      </c>
      <c r="E11" s="24" t="s">
        <v>31</v>
      </c>
      <c r="F11" s="63">
        <v>2.1874999999999998E-3</v>
      </c>
    </row>
    <row r="12" spans="1:6" ht="22" customHeight="1" x14ac:dyDescent="0.2">
      <c r="A12" s="39">
        <v>10</v>
      </c>
      <c r="B12" s="24" t="s">
        <v>92</v>
      </c>
      <c r="C12" s="37" t="s">
        <v>2</v>
      </c>
      <c r="D12" s="37" t="s">
        <v>3</v>
      </c>
      <c r="E12" s="24" t="s">
        <v>36</v>
      </c>
      <c r="F12" s="63">
        <v>2.0486111111111113E-3</v>
      </c>
    </row>
    <row r="13" spans="1:6" ht="22" customHeight="1" x14ac:dyDescent="0.2">
      <c r="A13" s="39">
        <v>11</v>
      </c>
      <c r="B13" s="24" t="s">
        <v>116</v>
      </c>
      <c r="C13" s="37" t="s">
        <v>2</v>
      </c>
      <c r="D13" s="37" t="s">
        <v>3</v>
      </c>
      <c r="E13" s="24" t="s">
        <v>36</v>
      </c>
      <c r="F13" s="63">
        <v>2.2569444444444442E-3</v>
      </c>
    </row>
    <row r="14" spans="1:6" ht="22" customHeight="1" x14ac:dyDescent="0.2">
      <c r="A14" s="39">
        <v>12</v>
      </c>
      <c r="B14" s="24" t="s">
        <v>247</v>
      </c>
      <c r="C14" s="37" t="s">
        <v>2</v>
      </c>
      <c r="D14" s="37" t="s">
        <v>3</v>
      </c>
      <c r="E14" s="24" t="s">
        <v>39</v>
      </c>
      <c r="F14" s="63">
        <v>2.5810185185185185E-3</v>
      </c>
    </row>
    <row r="15" spans="1:6" ht="22" customHeight="1" x14ac:dyDescent="0.2">
      <c r="A15" s="39">
        <v>13</v>
      </c>
      <c r="B15" s="24" t="s">
        <v>123</v>
      </c>
      <c r="C15" s="37" t="s">
        <v>2</v>
      </c>
      <c r="D15" s="37" t="s">
        <v>3</v>
      </c>
      <c r="E15" s="24" t="s">
        <v>36</v>
      </c>
      <c r="F15" s="63">
        <v>3.3217592592592595E-3</v>
      </c>
    </row>
    <row r="16" spans="1:6" ht="22" customHeight="1" x14ac:dyDescent="0.2">
      <c r="A16" s="39" t="s">
        <v>259</v>
      </c>
      <c r="B16" s="24" t="s">
        <v>103</v>
      </c>
      <c r="C16" s="37" t="s">
        <v>2</v>
      </c>
      <c r="D16" s="37" t="s">
        <v>3</v>
      </c>
      <c r="E16" s="24" t="s">
        <v>31</v>
      </c>
      <c r="F16" s="63">
        <v>5.9606481481481481E-3</v>
      </c>
    </row>
    <row r="17" spans="1:6" x14ac:dyDescent="0.2">
      <c r="A17" s="28"/>
      <c r="B17" s="23"/>
      <c r="C17" s="30"/>
      <c r="D17" s="30"/>
      <c r="E17" s="23"/>
      <c r="F17" s="64"/>
    </row>
    <row r="18" spans="1:6" ht="22" customHeight="1" thickBot="1" x14ac:dyDescent="0.25">
      <c r="A18" s="33"/>
      <c r="B18" s="34" t="s">
        <v>244</v>
      </c>
      <c r="C18" s="35"/>
      <c r="D18" s="35"/>
      <c r="E18" s="34"/>
      <c r="F18" s="36">
        <f>SUM(F3:F17)</f>
        <v>4.0081018518518516E-2</v>
      </c>
    </row>
  </sheetData>
  <hyperlinks>
    <hyperlink ref="C3" r:id="rId1" xr:uid="{00000000-0004-0000-1000-000000000000}"/>
    <hyperlink ref="D3" r:id="rId2" xr:uid="{00000000-0004-0000-1000-000001000000}"/>
    <hyperlink ref="C4" r:id="rId3" xr:uid="{00000000-0004-0000-1000-000002000000}"/>
    <hyperlink ref="D4" r:id="rId4" xr:uid="{00000000-0004-0000-1000-000003000000}"/>
    <hyperlink ref="C5" r:id="rId5" xr:uid="{00000000-0004-0000-1000-000004000000}"/>
    <hyperlink ref="D5" r:id="rId6" xr:uid="{00000000-0004-0000-1000-000005000000}"/>
    <hyperlink ref="C6" r:id="rId7" xr:uid="{00000000-0004-0000-1000-000006000000}"/>
    <hyperlink ref="D6" r:id="rId8" xr:uid="{00000000-0004-0000-1000-000007000000}"/>
    <hyperlink ref="C7" r:id="rId9" xr:uid="{00000000-0004-0000-1000-000008000000}"/>
    <hyperlink ref="D7" r:id="rId10" xr:uid="{00000000-0004-0000-1000-000009000000}"/>
    <hyperlink ref="C8" r:id="rId11" xr:uid="{00000000-0004-0000-1000-00000A000000}"/>
    <hyperlink ref="D8" r:id="rId12" xr:uid="{00000000-0004-0000-1000-00000B000000}"/>
    <hyperlink ref="C9" r:id="rId13" xr:uid="{00000000-0004-0000-1000-00000C000000}"/>
    <hyperlink ref="D9" r:id="rId14" xr:uid="{00000000-0004-0000-1000-00000D000000}"/>
    <hyperlink ref="D10" r:id="rId15" xr:uid="{00000000-0004-0000-1000-00000E000000}"/>
    <hyperlink ref="C11" r:id="rId16" xr:uid="{00000000-0004-0000-1000-00000F000000}"/>
    <hyperlink ref="D11" r:id="rId17" xr:uid="{00000000-0004-0000-1000-000010000000}"/>
    <hyperlink ref="C12" r:id="rId18" xr:uid="{00000000-0004-0000-1000-000011000000}"/>
    <hyperlink ref="D12" r:id="rId19" xr:uid="{00000000-0004-0000-1000-000012000000}"/>
    <hyperlink ref="C13" r:id="rId20" xr:uid="{00000000-0004-0000-1000-000013000000}"/>
    <hyperlink ref="D13" r:id="rId21" xr:uid="{00000000-0004-0000-1000-000014000000}"/>
    <hyperlink ref="C14" r:id="rId22" xr:uid="{00000000-0004-0000-1000-000015000000}"/>
    <hyperlink ref="D14" r:id="rId23" xr:uid="{00000000-0004-0000-1000-000016000000}"/>
    <hyperlink ref="C15" r:id="rId24" xr:uid="{00000000-0004-0000-1000-000017000000}"/>
    <hyperlink ref="D15" r:id="rId25" xr:uid="{00000000-0004-0000-1000-000018000000}"/>
    <hyperlink ref="C16" r:id="rId26" xr:uid="{00000000-0004-0000-1000-000019000000}"/>
    <hyperlink ref="D16" r:id="rId27" xr:uid="{00000000-0004-0000-1000-00001A000000}"/>
  </hyperlinks>
  <pageMargins left="0.75" right="0.75" top="1" bottom="1" header="0.5" footer="0.5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260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78</v>
      </c>
      <c r="C4" s="37" t="s">
        <v>2</v>
      </c>
      <c r="D4" s="37" t="s">
        <v>3</v>
      </c>
      <c r="E4" s="24" t="s">
        <v>39</v>
      </c>
      <c r="F4" s="63">
        <v>2.5810185185185185E-3</v>
      </c>
    </row>
    <row r="5" spans="1:6" ht="22" customHeight="1" x14ac:dyDescent="0.2">
      <c r="A5" s="39">
        <v>3</v>
      </c>
      <c r="B5" s="24" t="s">
        <v>85</v>
      </c>
      <c r="C5" s="37" t="s">
        <v>2</v>
      </c>
      <c r="D5" s="37" t="s">
        <v>3</v>
      </c>
      <c r="E5" s="24" t="s">
        <v>48</v>
      </c>
      <c r="F5" s="63">
        <v>1.9791666666666668E-3</v>
      </c>
    </row>
    <row r="6" spans="1:6" ht="22" customHeight="1" x14ac:dyDescent="0.2">
      <c r="A6" s="39">
        <v>4</v>
      </c>
      <c r="B6" s="24" t="s">
        <v>94</v>
      </c>
      <c r="C6" s="37" t="s">
        <v>2</v>
      </c>
      <c r="D6" s="37" t="s">
        <v>3</v>
      </c>
      <c r="E6" s="24" t="s">
        <v>39</v>
      </c>
      <c r="F6" s="63">
        <v>3.5995370370370369E-3</v>
      </c>
    </row>
    <row r="7" spans="1:6" ht="22" customHeight="1" x14ac:dyDescent="0.2">
      <c r="A7" s="39">
        <v>5</v>
      </c>
      <c r="B7" s="24" t="s">
        <v>52</v>
      </c>
      <c r="C7" s="37" t="s">
        <v>2</v>
      </c>
      <c r="D7" s="37" t="s">
        <v>3</v>
      </c>
      <c r="E7" s="24" t="s">
        <v>31</v>
      </c>
      <c r="F7" s="63">
        <f>VLOOKUP(B7,'Song Tracker'!$A$3:$F$48,6,FALSE)</f>
        <v>5.5555555555555558E-3</v>
      </c>
    </row>
    <row r="8" spans="1:6" ht="22" customHeight="1" x14ac:dyDescent="0.2">
      <c r="A8" s="39">
        <v>6</v>
      </c>
      <c r="B8" s="24" t="s">
        <v>99</v>
      </c>
      <c r="C8" s="37" t="s">
        <v>2</v>
      </c>
      <c r="D8" s="37" t="s">
        <v>3</v>
      </c>
      <c r="E8" s="24" t="s">
        <v>39</v>
      </c>
      <c r="F8" s="63">
        <v>2.9513888888888888E-3</v>
      </c>
    </row>
    <row r="9" spans="1:6" ht="22" customHeight="1" x14ac:dyDescent="0.2">
      <c r="A9" s="39">
        <v>7</v>
      </c>
      <c r="B9" s="24" t="s">
        <v>82</v>
      </c>
      <c r="C9" s="37" t="s">
        <v>2</v>
      </c>
      <c r="D9" s="38"/>
      <c r="E9" s="24" t="s">
        <v>36</v>
      </c>
      <c r="F9" s="63">
        <v>3.8541666666666663E-3</v>
      </c>
    </row>
    <row r="10" spans="1:6" ht="22" customHeight="1" x14ac:dyDescent="0.2">
      <c r="A10" s="39">
        <v>8</v>
      </c>
      <c r="B10" s="24" t="s">
        <v>92</v>
      </c>
      <c r="C10" s="37" t="s">
        <v>2</v>
      </c>
      <c r="D10" s="37" t="s">
        <v>3</v>
      </c>
      <c r="E10" s="24" t="s">
        <v>36</v>
      </c>
      <c r="F10" s="63">
        <v>2.0486111111111113E-3</v>
      </c>
    </row>
    <row r="11" spans="1:6" ht="22" customHeight="1" x14ac:dyDescent="0.2">
      <c r="A11" s="39">
        <v>9</v>
      </c>
      <c r="B11" s="24" t="s">
        <v>80</v>
      </c>
      <c r="C11" s="38"/>
      <c r="D11" s="37" t="s">
        <v>3</v>
      </c>
      <c r="E11" s="24" t="s">
        <v>39</v>
      </c>
      <c r="F11" s="63">
        <f>VLOOKUP(B11,'Song Tracker'!$A$3:$F$48,6,FALSE)</f>
        <v>2.6041666666666665E-3</v>
      </c>
    </row>
    <row r="12" spans="1:6" ht="22" customHeight="1" x14ac:dyDescent="0.2">
      <c r="A12" s="39">
        <v>10</v>
      </c>
      <c r="B12" s="24" t="s">
        <v>46</v>
      </c>
      <c r="C12" s="37" t="s">
        <v>2</v>
      </c>
      <c r="D12" s="37" t="s">
        <v>3</v>
      </c>
      <c r="E12" s="24" t="s">
        <v>48</v>
      </c>
      <c r="F12" s="63">
        <v>1.7476851851851852E-3</v>
      </c>
    </row>
    <row r="13" spans="1:6" ht="22" customHeight="1" x14ac:dyDescent="0.2">
      <c r="A13" s="39">
        <v>11</v>
      </c>
      <c r="B13" s="24" t="s">
        <v>123</v>
      </c>
      <c r="C13" s="37" t="s">
        <v>2</v>
      </c>
      <c r="D13" s="37" t="s">
        <v>3</v>
      </c>
      <c r="E13" s="24" t="s">
        <v>36</v>
      </c>
      <c r="F13" s="63">
        <v>3.3217592592592595E-3</v>
      </c>
    </row>
    <row r="14" spans="1:6" x14ac:dyDescent="0.2">
      <c r="A14" s="28"/>
      <c r="B14" s="23"/>
      <c r="C14" s="30"/>
      <c r="D14" s="30"/>
      <c r="E14" s="23"/>
      <c r="F14" s="64"/>
    </row>
    <row r="15" spans="1:6" ht="22" customHeight="1" thickBot="1" x14ac:dyDescent="0.25">
      <c r="A15" s="33"/>
      <c r="B15" s="34" t="s">
        <v>244</v>
      </c>
      <c r="C15" s="35"/>
      <c r="D15" s="35"/>
      <c r="E15" s="34"/>
      <c r="F15" s="36">
        <f>SUM(F3:F14)</f>
        <v>3.2430555555555553E-2</v>
      </c>
    </row>
  </sheetData>
  <hyperlinks>
    <hyperlink ref="C3" r:id="rId1" xr:uid="{00000000-0004-0000-1100-000000000000}"/>
    <hyperlink ref="D3" r:id="rId2" xr:uid="{00000000-0004-0000-1100-000001000000}"/>
    <hyperlink ref="C4" r:id="rId3" xr:uid="{00000000-0004-0000-1100-000002000000}"/>
    <hyperlink ref="D4" r:id="rId4" xr:uid="{00000000-0004-0000-1100-000003000000}"/>
    <hyperlink ref="C5" r:id="rId5" xr:uid="{00000000-0004-0000-1100-000004000000}"/>
    <hyperlink ref="D5" r:id="rId6" xr:uid="{00000000-0004-0000-1100-000005000000}"/>
    <hyperlink ref="C6" r:id="rId7" xr:uid="{00000000-0004-0000-1100-000006000000}"/>
    <hyperlink ref="D6" r:id="rId8" xr:uid="{00000000-0004-0000-1100-000007000000}"/>
    <hyperlink ref="C7" r:id="rId9" xr:uid="{00000000-0004-0000-1100-000008000000}"/>
    <hyperlink ref="D7" r:id="rId10" xr:uid="{00000000-0004-0000-1100-000009000000}"/>
    <hyperlink ref="C8" r:id="rId11" xr:uid="{00000000-0004-0000-1100-00000A000000}"/>
    <hyperlink ref="D8" r:id="rId12" xr:uid="{00000000-0004-0000-1100-00000B000000}"/>
    <hyperlink ref="C9" r:id="rId13" xr:uid="{00000000-0004-0000-1100-00000C000000}"/>
    <hyperlink ref="C10" r:id="rId14" xr:uid="{00000000-0004-0000-1100-00000D000000}"/>
    <hyperlink ref="D10" r:id="rId15" xr:uid="{00000000-0004-0000-1100-00000E000000}"/>
    <hyperlink ref="D11" r:id="rId16" xr:uid="{00000000-0004-0000-1100-00000F000000}"/>
    <hyperlink ref="C12" r:id="rId17" xr:uid="{00000000-0004-0000-1100-000010000000}"/>
    <hyperlink ref="D12" r:id="rId18" xr:uid="{00000000-0004-0000-1100-000011000000}"/>
    <hyperlink ref="C13" r:id="rId19" xr:uid="{00000000-0004-0000-1100-000012000000}"/>
    <hyperlink ref="D13" r:id="rId20" xr:uid="{00000000-0004-0000-1100-000013000000}"/>
  </hyperlinks>
  <pageMargins left="0.75" right="0.75" top="1" bottom="1" header="0.5" footer="0.5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0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261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127</v>
      </c>
      <c r="C4" s="37" t="s">
        <v>2</v>
      </c>
      <c r="D4" s="37" t="s">
        <v>3</v>
      </c>
      <c r="E4" s="24" t="s">
        <v>31</v>
      </c>
      <c r="F4" s="63">
        <v>2.0949074074074073E-3</v>
      </c>
    </row>
    <row r="5" spans="1:6" ht="22" customHeight="1" x14ac:dyDescent="0.2">
      <c r="A5" s="39">
        <v>3</v>
      </c>
      <c r="B5" s="24" t="s">
        <v>94</v>
      </c>
      <c r="C5" s="37" t="s">
        <v>2</v>
      </c>
      <c r="D5" s="37" t="s">
        <v>3</v>
      </c>
      <c r="E5" s="24" t="s">
        <v>39</v>
      </c>
      <c r="F5" s="63">
        <v>3.5995370370370369E-3</v>
      </c>
    </row>
    <row r="6" spans="1:6" ht="22" customHeight="1" x14ac:dyDescent="0.2">
      <c r="A6" s="39">
        <v>4</v>
      </c>
      <c r="B6" s="24" t="s">
        <v>65</v>
      </c>
      <c r="C6" s="37" t="s">
        <v>2</v>
      </c>
      <c r="D6" s="37" t="s">
        <v>3</v>
      </c>
      <c r="E6" s="24" t="s">
        <v>36</v>
      </c>
      <c r="F6" s="63">
        <v>2.488425925925926E-3</v>
      </c>
    </row>
    <row r="7" spans="1:6" ht="22" customHeight="1" x14ac:dyDescent="0.2">
      <c r="A7" s="39">
        <v>5</v>
      </c>
      <c r="B7" s="24" t="s">
        <v>85</v>
      </c>
      <c r="C7" s="37" t="s">
        <v>2</v>
      </c>
      <c r="D7" s="37" t="s">
        <v>3</v>
      </c>
      <c r="E7" s="24" t="s">
        <v>48</v>
      </c>
      <c r="F7" s="63">
        <v>1.9791666666666668E-3</v>
      </c>
    </row>
    <row r="8" spans="1:6" ht="22" customHeight="1" x14ac:dyDescent="0.2">
      <c r="A8" s="39">
        <v>6</v>
      </c>
      <c r="B8" s="24" t="s">
        <v>63</v>
      </c>
      <c r="C8" s="37" t="s">
        <v>2</v>
      </c>
      <c r="D8" s="37" t="s">
        <v>3</v>
      </c>
      <c r="E8" s="24" t="s">
        <v>31</v>
      </c>
      <c r="F8" s="63">
        <v>2.7893518518518519E-3</v>
      </c>
    </row>
    <row r="9" spans="1:6" ht="22" customHeight="1" x14ac:dyDescent="0.2">
      <c r="A9" s="39">
        <v>7</v>
      </c>
      <c r="B9" s="24" t="s">
        <v>247</v>
      </c>
      <c r="C9" s="37" t="s">
        <v>2</v>
      </c>
      <c r="D9" s="37" t="s">
        <v>3</v>
      </c>
      <c r="E9" s="24" t="s">
        <v>39</v>
      </c>
      <c r="F9" s="63">
        <v>2.5810185185185185E-3</v>
      </c>
    </row>
    <row r="10" spans="1:6" ht="22" customHeight="1" x14ac:dyDescent="0.2">
      <c r="A10" s="39">
        <v>8</v>
      </c>
      <c r="B10" s="24" t="s">
        <v>34</v>
      </c>
      <c r="C10" s="37" t="s">
        <v>2</v>
      </c>
      <c r="D10" s="37" t="s">
        <v>3</v>
      </c>
      <c r="E10" s="24" t="s">
        <v>36</v>
      </c>
      <c r="F10" s="63">
        <f>VLOOKUP(B10,'Song Tracker'!$A$3:$F$48,6,FALSE)</f>
        <v>3.9583333333333337E-3</v>
      </c>
    </row>
    <row r="11" spans="1:6" ht="22" customHeight="1" x14ac:dyDescent="0.2">
      <c r="A11" s="39">
        <v>9</v>
      </c>
      <c r="B11" s="24" t="s">
        <v>96</v>
      </c>
      <c r="C11" s="37" t="s">
        <v>2</v>
      </c>
      <c r="D11" s="37" t="s">
        <v>3</v>
      </c>
      <c r="E11" s="24" t="s">
        <v>48</v>
      </c>
      <c r="F11" s="63">
        <f>VLOOKUP(B11,'Song Tracker'!$A$3:$F$48,6,FALSE)</f>
        <v>1.9675925925925924E-3</v>
      </c>
    </row>
    <row r="12" spans="1:6" ht="22" customHeight="1" x14ac:dyDescent="0.2">
      <c r="A12" s="39">
        <v>10</v>
      </c>
      <c r="B12" s="24" t="s">
        <v>52</v>
      </c>
      <c r="C12" s="37" t="s">
        <v>2</v>
      </c>
      <c r="D12" s="37" t="s">
        <v>3</v>
      </c>
      <c r="E12" s="24" t="s">
        <v>31</v>
      </c>
      <c r="F12" s="63">
        <f>VLOOKUP(B12,'Song Tracker'!$A$3:$F$48,6,FALSE)</f>
        <v>5.5555555555555558E-3</v>
      </c>
    </row>
    <row r="13" spans="1:6" ht="22" customHeight="1" x14ac:dyDescent="0.2">
      <c r="A13" s="39">
        <v>11</v>
      </c>
      <c r="B13" s="24" t="s">
        <v>82</v>
      </c>
      <c r="C13" s="37" t="s">
        <v>2</v>
      </c>
      <c r="D13" s="38"/>
      <c r="E13" s="24" t="s">
        <v>36</v>
      </c>
      <c r="F13" s="63">
        <v>3.8541666666666663E-3</v>
      </c>
    </row>
    <row r="14" spans="1:6" ht="22" customHeight="1" x14ac:dyDescent="0.2">
      <c r="A14" s="39">
        <v>12</v>
      </c>
      <c r="B14" s="24" t="s">
        <v>97</v>
      </c>
      <c r="C14" s="37" t="s">
        <v>2</v>
      </c>
      <c r="D14" s="37" t="s">
        <v>3</v>
      </c>
      <c r="E14" s="24" t="s">
        <v>31</v>
      </c>
      <c r="F14" s="63">
        <v>3.2291666666666666E-3</v>
      </c>
    </row>
    <row r="15" spans="1:6" ht="22" customHeight="1" x14ac:dyDescent="0.2">
      <c r="A15" s="39">
        <v>13</v>
      </c>
      <c r="B15" s="24" t="s">
        <v>123</v>
      </c>
      <c r="C15" s="37" t="s">
        <v>2</v>
      </c>
      <c r="D15" s="37" t="s">
        <v>3</v>
      </c>
      <c r="E15" s="24" t="s">
        <v>36</v>
      </c>
      <c r="F15" s="63">
        <v>3.3217592592592595E-3</v>
      </c>
    </row>
    <row r="16" spans="1:6" ht="22" customHeight="1" x14ac:dyDescent="0.2">
      <c r="A16" s="39">
        <v>14</v>
      </c>
      <c r="B16" s="24" t="s">
        <v>110</v>
      </c>
      <c r="C16" s="37" t="s">
        <v>2</v>
      </c>
      <c r="D16" s="37" t="s">
        <v>3</v>
      </c>
      <c r="E16" s="24" t="s">
        <v>112</v>
      </c>
      <c r="F16" s="63">
        <f>VLOOKUP(B16,'Song Tracker'!$A$3:$F$48,6,FALSE)</f>
        <v>3.472222222222222E-3</v>
      </c>
    </row>
    <row r="17" spans="1:6" ht="22" customHeight="1" x14ac:dyDescent="0.2">
      <c r="A17" s="39">
        <v>15</v>
      </c>
      <c r="B17" s="24" t="s">
        <v>80</v>
      </c>
      <c r="C17" s="38"/>
      <c r="D17" s="37" t="s">
        <v>3</v>
      </c>
      <c r="E17" s="24" t="s">
        <v>39</v>
      </c>
      <c r="F17" s="63">
        <f>VLOOKUP(B17,'Song Tracker'!$A$3:$F$48,6,FALSE)</f>
        <v>2.6041666666666665E-3</v>
      </c>
    </row>
    <row r="18" spans="1:6" ht="22" customHeight="1" x14ac:dyDescent="0.2">
      <c r="A18" s="39">
        <v>16</v>
      </c>
      <c r="B18" s="24" t="s">
        <v>76</v>
      </c>
      <c r="C18" s="37" t="s">
        <v>2</v>
      </c>
      <c r="D18" s="37" t="s">
        <v>3</v>
      </c>
      <c r="E18" s="24" t="s">
        <v>31</v>
      </c>
      <c r="F18" s="63">
        <f>VLOOKUP(B18,'Song Tracker'!$A$3:$F$48,6,FALSE)</f>
        <v>2.5115740740740741E-3</v>
      </c>
    </row>
    <row r="19" spans="1:6" ht="22" customHeight="1" x14ac:dyDescent="0.2">
      <c r="A19" s="39">
        <v>17</v>
      </c>
      <c r="B19" s="24" t="s">
        <v>50</v>
      </c>
      <c r="C19" s="37" t="s">
        <v>2</v>
      </c>
      <c r="D19" s="37" t="s">
        <v>3</v>
      </c>
      <c r="E19" s="24" t="s">
        <v>48</v>
      </c>
      <c r="F19" s="63">
        <f>VLOOKUP(B19,'Song Tracker'!$A$3:$F$48,6,FALSE)</f>
        <v>3.3449074074074076E-3</v>
      </c>
    </row>
    <row r="20" spans="1:6" ht="22" customHeight="1" x14ac:dyDescent="0.2">
      <c r="A20" s="39">
        <v>18</v>
      </c>
      <c r="B20" s="24" t="s">
        <v>101</v>
      </c>
      <c r="C20" s="37" t="s">
        <v>2</v>
      </c>
      <c r="D20" s="37" t="s">
        <v>3</v>
      </c>
      <c r="E20" s="24" t="s">
        <v>31</v>
      </c>
      <c r="F20" s="63">
        <v>4.1319444444444442E-3</v>
      </c>
    </row>
    <row r="21" spans="1:6" ht="22" customHeight="1" x14ac:dyDescent="0.2">
      <c r="A21" s="39">
        <v>19</v>
      </c>
      <c r="B21" s="24" t="s">
        <v>99</v>
      </c>
      <c r="C21" s="37" t="s">
        <v>2</v>
      </c>
      <c r="D21" s="37" t="s">
        <v>3</v>
      </c>
      <c r="E21" s="24" t="s">
        <v>39</v>
      </c>
      <c r="F21" s="63">
        <v>2.9513888888888888E-3</v>
      </c>
    </row>
    <row r="22" spans="1:6" ht="22" customHeight="1" x14ac:dyDescent="0.2">
      <c r="A22" s="39">
        <v>20</v>
      </c>
      <c r="B22" s="24" t="s">
        <v>104</v>
      </c>
      <c r="C22" s="37" t="s">
        <v>2</v>
      </c>
      <c r="D22" s="37" t="s">
        <v>3</v>
      </c>
      <c r="E22" s="24" t="s">
        <v>36</v>
      </c>
      <c r="F22" s="63">
        <f>VLOOKUP(B22,'Song Tracker'!$A$3:$F$48,6,FALSE)</f>
        <v>2.4305555555555556E-3</v>
      </c>
    </row>
    <row r="23" spans="1:6" ht="22" customHeight="1" x14ac:dyDescent="0.2">
      <c r="A23" s="39">
        <v>22</v>
      </c>
      <c r="B23" s="24" t="s">
        <v>46</v>
      </c>
      <c r="C23" s="37" t="s">
        <v>2</v>
      </c>
      <c r="D23" s="37" t="s">
        <v>3</v>
      </c>
      <c r="E23" s="24" t="s">
        <v>48</v>
      </c>
      <c r="F23" s="63">
        <v>1.7476851851851852E-3</v>
      </c>
    </row>
    <row r="24" spans="1:6" ht="22" customHeight="1" x14ac:dyDescent="0.2">
      <c r="A24" s="39">
        <v>23</v>
      </c>
      <c r="B24" s="24" t="s">
        <v>92</v>
      </c>
      <c r="C24" s="37" t="s">
        <v>2</v>
      </c>
      <c r="D24" s="37" t="s">
        <v>3</v>
      </c>
      <c r="E24" s="24" t="s">
        <v>36</v>
      </c>
      <c r="F24" s="63">
        <v>2.0486111111111113E-3</v>
      </c>
    </row>
    <row r="25" spans="1:6" ht="22" customHeight="1" x14ac:dyDescent="0.2">
      <c r="A25" s="39">
        <v>24</v>
      </c>
      <c r="B25" s="24" t="s">
        <v>78</v>
      </c>
      <c r="C25" s="37" t="s">
        <v>2</v>
      </c>
      <c r="D25" s="37" t="s">
        <v>3</v>
      </c>
      <c r="E25" s="24" t="s">
        <v>39</v>
      </c>
      <c r="F25" s="63">
        <v>2.5810185185185185E-3</v>
      </c>
    </row>
    <row r="26" spans="1:6" ht="22" customHeight="1" x14ac:dyDescent="0.2">
      <c r="A26" s="39">
        <v>25</v>
      </c>
      <c r="B26" s="24" t="s">
        <v>103</v>
      </c>
      <c r="C26" s="37" t="s">
        <v>2</v>
      </c>
      <c r="D26" s="37" t="s">
        <v>3</v>
      </c>
      <c r="E26" s="24" t="s">
        <v>31</v>
      </c>
      <c r="F26" s="63">
        <v>5.9606481481481481E-3</v>
      </c>
    </row>
    <row r="27" spans="1:6" ht="22" customHeight="1" x14ac:dyDescent="0.2">
      <c r="A27" s="39">
        <v>26</v>
      </c>
      <c r="B27" s="24" t="s">
        <v>74</v>
      </c>
      <c r="C27" s="37" t="s">
        <v>2</v>
      </c>
      <c r="D27" s="37" t="s">
        <v>3</v>
      </c>
      <c r="E27" s="24" t="s">
        <v>39</v>
      </c>
      <c r="F27" s="63">
        <v>4.6874999999999998E-3</v>
      </c>
    </row>
    <row r="28" spans="1:6" ht="22" customHeight="1" x14ac:dyDescent="0.2">
      <c r="A28" s="39">
        <v>27</v>
      </c>
      <c r="B28" s="24" t="s">
        <v>118</v>
      </c>
      <c r="C28" s="37" t="s">
        <v>2</v>
      </c>
      <c r="D28" s="37" t="s">
        <v>3</v>
      </c>
      <c r="E28" s="24" t="s">
        <v>36</v>
      </c>
      <c r="F28" s="63">
        <f>VLOOKUP(B28,'Song Tracker'!$A$3:$F$48,6,FALSE)</f>
        <v>3.472222222222222E-3</v>
      </c>
    </row>
    <row r="29" spans="1:6" x14ac:dyDescent="0.2">
      <c r="A29" s="28"/>
      <c r="B29" s="23"/>
      <c r="C29" s="30"/>
      <c r="D29" s="30"/>
      <c r="E29" s="23"/>
      <c r="F29" s="64"/>
    </row>
    <row r="30" spans="1:6" ht="22" customHeight="1" thickBot="1" x14ac:dyDescent="0.25">
      <c r="A30" s="33"/>
      <c r="B30" s="34" t="s">
        <v>244</v>
      </c>
      <c r="C30" s="35"/>
      <c r="D30" s="35"/>
      <c r="E30" s="34"/>
      <c r="F30" s="36">
        <f>SUM(F3:F29)</f>
        <v>8.1550925925925929E-2</v>
      </c>
    </row>
  </sheetData>
  <hyperlinks>
    <hyperlink ref="C3" r:id="rId1" xr:uid="{00000000-0004-0000-1200-000000000000}"/>
    <hyperlink ref="D3" r:id="rId2" xr:uid="{00000000-0004-0000-1200-000001000000}"/>
    <hyperlink ref="C4" r:id="rId3" xr:uid="{00000000-0004-0000-1200-000002000000}"/>
    <hyperlink ref="D4" r:id="rId4" xr:uid="{00000000-0004-0000-1200-000003000000}"/>
    <hyperlink ref="C5" r:id="rId5" xr:uid="{00000000-0004-0000-1200-000004000000}"/>
    <hyperlink ref="D5" r:id="rId6" xr:uid="{00000000-0004-0000-1200-000005000000}"/>
    <hyperlink ref="C6" r:id="rId7" xr:uid="{00000000-0004-0000-1200-000006000000}"/>
    <hyperlink ref="D6" r:id="rId8" xr:uid="{00000000-0004-0000-1200-000007000000}"/>
    <hyperlink ref="C7" r:id="rId9" xr:uid="{00000000-0004-0000-1200-000008000000}"/>
    <hyperlink ref="D7" r:id="rId10" xr:uid="{00000000-0004-0000-1200-000009000000}"/>
    <hyperlink ref="C8" r:id="rId11" xr:uid="{00000000-0004-0000-1200-00000A000000}"/>
    <hyperlink ref="D8" r:id="rId12" xr:uid="{00000000-0004-0000-1200-00000B000000}"/>
    <hyperlink ref="C9" r:id="rId13" xr:uid="{00000000-0004-0000-1200-00000C000000}"/>
    <hyperlink ref="D9" r:id="rId14" xr:uid="{00000000-0004-0000-1200-00000D000000}"/>
    <hyperlink ref="C10" r:id="rId15" xr:uid="{00000000-0004-0000-1200-00000E000000}"/>
    <hyperlink ref="D10" r:id="rId16" xr:uid="{00000000-0004-0000-1200-00000F000000}"/>
    <hyperlink ref="C11" r:id="rId17" xr:uid="{00000000-0004-0000-1200-000010000000}"/>
    <hyperlink ref="D11" r:id="rId18" xr:uid="{00000000-0004-0000-1200-000011000000}"/>
    <hyperlink ref="C12" r:id="rId19" xr:uid="{00000000-0004-0000-1200-000012000000}"/>
    <hyperlink ref="D12" r:id="rId20" xr:uid="{00000000-0004-0000-1200-000013000000}"/>
    <hyperlink ref="C13" r:id="rId21" xr:uid="{00000000-0004-0000-1200-000014000000}"/>
    <hyperlink ref="C14" r:id="rId22" xr:uid="{00000000-0004-0000-1200-000015000000}"/>
    <hyperlink ref="D14" r:id="rId23" xr:uid="{00000000-0004-0000-1200-000016000000}"/>
    <hyperlink ref="C15" r:id="rId24" xr:uid="{00000000-0004-0000-1200-000017000000}"/>
    <hyperlink ref="D15" r:id="rId25" xr:uid="{00000000-0004-0000-1200-000018000000}"/>
    <hyperlink ref="C16" r:id="rId26" xr:uid="{00000000-0004-0000-1200-000019000000}"/>
    <hyperlink ref="D16" r:id="rId27" xr:uid="{00000000-0004-0000-1200-00001A000000}"/>
    <hyperlink ref="D17" r:id="rId28" xr:uid="{00000000-0004-0000-1200-00001B000000}"/>
    <hyperlink ref="C18" r:id="rId29" xr:uid="{00000000-0004-0000-1200-00001C000000}"/>
    <hyperlink ref="D18" r:id="rId30" xr:uid="{00000000-0004-0000-1200-00001D000000}"/>
    <hyperlink ref="C19" r:id="rId31" xr:uid="{00000000-0004-0000-1200-00001E000000}"/>
    <hyperlink ref="D19" r:id="rId32" xr:uid="{00000000-0004-0000-1200-00001F000000}"/>
    <hyperlink ref="C20" r:id="rId33" xr:uid="{00000000-0004-0000-1200-000020000000}"/>
    <hyperlink ref="D20" r:id="rId34" xr:uid="{00000000-0004-0000-1200-000021000000}"/>
    <hyperlink ref="C21" r:id="rId35" xr:uid="{00000000-0004-0000-1200-000022000000}"/>
    <hyperlink ref="D21" r:id="rId36" xr:uid="{00000000-0004-0000-1200-000023000000}"/>
    <hyperlink ref="C22" r:id="rId37" xr:uid="{00000000-0004-0000-1200-000024000000}"/>
    <hyperlink ref="D22" r:id="rId38" xr:uid="{00000000-0004-0000-1200-000025000000}"/>
    <hyperlink ref="C23" r:id="rId39" xr:uid="{00000000-0004-0000-1200-000026000000}"/>
    <hyperlink ref="D23" r:id="rId40" xr:uid="{00000000-0004-0000-1200-000027000000}"/>
    <hyperlink ref="C24" r:id="rId41" xr:uid="{00000000-0004-0000-1200-000028000000}"/>
    <hyperlink ref="D24" r:id="rId42" xr:uid="{00000000-0004-0000-1200-000029000000}"/>
    <hyperlink ref="C25" r:id="rId43" xr:uid="{00000000-0004-0000-1200-00002A000000}"/>
    <hyperlink ref="D25" r:id="rId44" xr:uid="{00000000-0004-0000-1200-00002B000000}"/>
    <hyperlink ref="C26" r:id="rId45" xr:uid="{00000000-0004-0000-1200-00002C000000}"/>
    <hyperlink ref="D26" r:id="rId46" xr:uid="{00000000-0004-0000-1200-00002D000000}"/>
    <hyperlink ref="C27" r:id="rId47" xr:uid="{00000000-0004-0000-1200-00002E000000}"/>
    <hyperlink ref="D27" r:id="rId48" xr:uid="{00000000-0004-0000-1200-00002F000000}"/>
    <hyperlink ref="C28" r:id="rId49" xr:uid="{00000000-0004-0000-1200-000030000000}"/>
    <hyperlink ref="D28" r:id="rId50" xr:uid="{00000000-0004-0000-1200-000031000000}"/>
  </hyperlinks>
  <pageMargins left="0.75" right="0.75" top="1" bottom="1" header="0.5" footer="0.5"/>
  <pageSetup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262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127</v>
      </c>
      <c r="C4" s="37" t="s">
        <v>2</v>
      </c>
      <c r="D4" s="37" t="s">
        <v>3</v>
      </c>
      <c r="E4" s="24" t="s">
        <v>31</v>
      </c>
      <c r="F4" s="63">
        <v>2.0949074074074073E-3</v>
      </c>
    </row>
    <row r="5" spans="1:6" ht="22" customHeight="1" x14ac:dyDescent="0.2">
      <c r="A5" s="39">
        <v>3</v>
      </c>
      <c r="B5" s="24" t="s">
        <v>94</v>
      </c>
      <c r="C5" s="37" t="s">
        <v>2</v>
      </c>
      <c r="D5" s="37" t="s">
        <v>3</v>
      </c>
      <c r="E5" s="24" t="s">
        <v>39</v>
      </c>
      <c r="F5" s="63">
        <v>3.5995370370370369E-3</v>
      </c>
    </row>
    <row r="6" spans="1:6" ht="22" customHeight="1" x14ac:dyDescent="0.2">
      <c r="A6" s="39">
        <v>4</v>
      </c>
      <c r="B6" s="24" t="s">
        <v>65</v>
      </c>
      <c r="C6" s="37" t="s">
        <v>2</v>
      </c>
      <c r="D6" s="37" t="s">
        <v>3</v>
      </c>
      <c r="E6" s="24" t="s">
        <v>36</v>
      </c>
      <c r="F6" s="63">
        <v>2.488425925925926E-3</v>
      </c>
    </row>
    <row r="7" spans="1:6" ht="22" customHeight="1" x14ac:dyDescent="0.2">
      <c r="A7" s="39">
        <v>5</v>
      </c>
      <c r="B7" s="24" t="s">
        <v>85</v>
      </c>
      <c r="C7" s="37" t="s">
        <v>2</v>
      </c>
      <c r="D7" s="37" t="s">
        <v>3</v>
      </c>
      <c r="E7" s="24" t="s">
        <v>48</v>
      </c>
      <c r="F7" s="63">
        <v>1.9791666666666668E-3</v>
      </c>
    </row>
    <row r="8" spans="1:6" ht="22" customHeight="1" x14ac:dyDescent="0.2">
      <c r="A8" s="39">
        <v>6</v>
      </c>
      <c r="B8" s="24" t="s">
        <v>63</v>
      </c>
      <c r="C8" s="37" t="s">
        <v>2</v>
      </c>
      <c r="D8" s="37" t="s">
        <v>3</v>
      </c>
      <c r="E8" s="24" t="s">
        <v>31</v>
      </c>
      <c r="F8" s="63">
        <v>2.7893518518518519E-3</v>
      </c>
    </row>
    <row r="9" spans="1:6" ht="22" customHeight="1" x14ac:dyDescent="0.2">
      <c r="A9" s="39">
        <v>7</v>
      </c>
      <c r="B9" s="24" t="s">
        <v>247</v>
      </c>
      <c r="C9" s="37" t="s">
        <v>2</v>
      </c>
      <c r="D9" s="37" t="s">
        <v>3</v>
      </c>
      <c r="E9" s="24" t="s">
        <v>39</v>
      </c>
      <c r="F9" s="63">
        <v>2.5810185185185185E-3</v>
      </c>
    </row>
    <row r="10" spans="1:6" ht="22" customHeight="1" x14ac:dyDescent="0.2">
      <c r="A10" s="39">
        <v>8</v>
      </c>
      <c r="B10" s="24" t="s">
        <v>34</v>
      </c>
      <c r="C10" s="37" t="s">
        <v>2</v>
      </c>
      <c r="D10" s="37" t="s">
        <v>3</v>
      </c>
      <c r="E10" s="24" t="s">
        <v>36</v>
      </c>
      <c r="F10" s="63">
        <f>VLOOKUP(B10,'Song Tracker'!$A$3:$F$48,6,FALSE)</f>
        <v>3.9583333333333337E-3</v>
      </c>
    </row>
    <row r="11" spans="1:6" ht="22" customHeight="1" x14ac:dyDescent="0.2">
      <c r="A11" s="39">
        <v>9</v>
      </c>
      <c r="B11" s="24" t="s">
        <v>52</v>
      </c>
      <c r="C11" s="37" t="s">
        <v>2</v>
      </c>
      <c r="D11" s="37" t="s">
        <v>3</v>
      </c>
      <c r="E11" s="24" t="s">
        <v>31</v>
      </c>
      <c r="F11" s="63">
        <f>VLOOKUP(B11,'Song Tracker'!$A$3:$F$48,6,FALSE)</f>
        <v>5.5555555555555558E-3</v>
      </c>
    </row>
    <row r="12" spans="1:6" ht="22" customHeight="1" x14ac:dyDescent="0.2">
      <c r="A12" s="39">
        <v>10</v>
      </c>
      <c r="B12" s="24" t="s">
        <v>82</v>
      </c>
      <c r="C12" s="37" t="s">
        <v>2</v>
      </c>
      <c r="D12" s="38"/>
      <c r="E12" s="24" t="s">
        <v>36</v>
      </c>
      <c r="F12" s="63">
        <v>3.8541666666666663E-3</v>
      </c>
    </row>
    <row r="13" spans="1:6" ht="22" customHeight="1" x14ac:dyDescent="0.2">
      <c r="A13" s="39">
        <v>11</v>
      </c>
      <c r="B13" s="24" t="s">
        <v>97</v>
      </c>
      <c r="C13" s="37" t="s">
        <v>2</v>
      </c>
      <c r="D13" s="37" t="s">
        <v>3</v>
      </c>
      <c r="E13" s="24" t="s">
        <v>31</v>
      </c>
      <c r="F13" s="63">
        <v>3.2291666666666666E-3</v>
      </c>
    </row>
    <row r="14" spans="1:6" ht="22" customHeight="1" x14ac:dyDescent="0.2">
      <c r="A14" s="39">
        <v>1</v>
      </c>
      <c r="B14" s="24" t="s">
        <v>110</v>
      </c>
      <c r="C14" s="37" t="s">
        <v>2</v>
      </c>
      <c r="D14" s="37" t="s">
        <v>3</v>
      </c>
      <c r="E14" s="24" t="s">
        <v>112</v>
      </c>
      <c r="F14" s="63">
        <f>VLOOKUP(B14,'Song Tracker'!$A$3:$F$48,6,FALSE)</f>
        <v>3.472222222222222E-3</v>
      </c>
    </row>
    <row r="15" spans="1:6" ht="22" customHeight="1" x14ac:dyDescent="0.2">
      <c r="A15" s="39">
        <v>2</v>
      </c>
      <c r="B15" s="24" t="s">
        <v>80</v>
      </c>
      <c r="C15" s="38"/>
      <c r="D15" s="37" t="s">
        <v>3</v>
      </c>
      <c r="E15" s="24" t="s">
        <v>39</v>
      </c>
      <c r="F15" s="63">
        <f>VLOOKUP(B15,'Song Tracker'!$A$3:$F$48,6,FALSE)</f>
        <v>2.6041666666666665E-3</v>
      </c>
    </row>
    <row r="16" spans="1:6" ht="22" customHeight="1" x14ac:dyDescent="0.2">
      <c r="A16" s="39">
        <v>3</v>
      </c>
      <c r="B16" s="24" t="s">
        <v>101</v>
      </c>
      <c r="C16" s="37" t="s">
        <v>2</v>
      </c>
      <c r="D16" s="37" t="s">
        <v>3</v>
      </c>
      <c r="E16" s="24" t="s">
        <v>31</v>
      </c>
      <c r="F16" s="63">
        <v>4.1319444444444442E-3</v>
      </c>
    </row>
    <row r="17" spans="1:6" ht="22" customHeight="1" x14ac:dyDescent="0.2">
      <c r="A17" s="39">
        <v>4</v>
      </c>
      <c r="B17" s="24" t="s">
        <v>104</v>
      </c>
      <c r="C17" s="37" t="s">
        <v>2</v>
      </c>
      <c r="D17" s="37" t="s">
        <v>3</v>
      </c>
      <c r="E17" s="24" t="s">
        <v>36</v>
      </c>
      <c r="F17" s="63">
        <f>VLOOKUP(B17,'Song Tracker'!$A$3:$F$48,6,FALSE)</f>
        <v>2.4305555555555556E-3</v>
      </c>
    </row>
    <row r="18" spans="1:6" ht="22" customHeight="1" x14ac:dyDescent="0.2">
      <c r="A18" s="39">
        <v>5</v>
      </c>
      <c r="B18" s="24" t="s">
        <v>46</v>
      </c>
      <c r="C18" s="37" t="s">
        <v>2</v>
      </c>
      <c r="D18" s="37" t="s">
        <v>3</v>
      </c>
      <c r="E18" s="24" t="s">
        <v>48</v>
      </c>
      <c r="F18" s="63">
        <v>1.7476851851851852E-3</v>
      </c>
    </row>
    <row r="19" spans="1:6" ht="22" customHeight="1" x14ac:dyDescent="0.2">
      <c r="A19" s="39">
        <v>6</v>
      </c>
      <c r="B19" s="24" t="s">
        <v>92</v>
      </c>
      <c r="C19" s="37" t="s">
        <v>2</v>
      </c>
      <c r="D19" s="37" t="s">
        <v>3</v>
      </c>
      <c r="E19" s="24" t="s">
        <v>36</v>
      </c>
      <c r="F19" s="63">
        <v>2.0486111111111113E-3</v>
      </c>
    </row>
    <row r="20" spans="1:6" ht="22" customHeight="1" x14ac:dyDescent="0.2">
      <c r="A20" s="39">
        <v>7</v>
      </c>
      <c r="B20" s="24" t="s">
        <v>78</v>
      </c>
      <c r="C20" s="37" t="s">
        <v>2</v>
      </c>
      <c r="D20" s="37" t="s">
        <v>3</v>
      </c>
      <c r="E20" s="24" t="s">
        <v>39</v>
      </c>
      <c r="F20" s="63">
        <v>2.5810185185185185E-3</v>
      </c>
    </row>
    <row r="21" spans="1:6" ht="22" customHeight="1" x14ac:dyDescent="0.2">
      <c r="A21" s="39">
        <v>8</v>
      </c>
      <c r="B21" s="24" t="s">
        <v>123</v>
      </c>
      <c r="C21" s="37" t="s">
        <v>2</v>
      </c>
      <c r="D21" s="37" t="s">
        <v>3</v>
      </c>
      <c r="E21" s="24" t="s">
        <v>36</v>
      </c>
      <c r="F21" s="63">
        <v>3.3217592592592595E-3</v>
      </c>
    </row>
    <row r="22" spans="1:6" ht="22" customHeight="1" x14ac:dyDescent="0.2">
      <c r="A22" s="39">
        <v>9</v>
      </c>
      <c r="B22" s="24" t="s">
        <v>103</v>
      </c>
      <c r="C22" s="37" t="s">
        <v>2</v>
      </c>
      <c r="D22" s="37" t="s">
        <v>3</v>
      </c>
      <c r="E22" s="24" t="s">
        <v>31</v>
      </c>
      <c r="F22" s="63">
        <v>5.9606481481481481E-3</v>
      </c>
    </row>
    <row r="23" spans="1:6" ht="22" customHeight="1" x14ac:dyDescent="0.2">
      <c r="A23" s="39">
        <v>10</v>
      </c>
      <c r="B23" s="24" t="s">
        <v>74</v>
      </c>
      <c r="C23" s="37" t="s">
        <v>2</v>
      </c>
      <c r="D23" s="37" t="s">
        <v>3</v>
      </c>
      <c r="E23" s="24" t="s">
        <v>39</v>
      </c>
      <c r="F23" s="63">
        <v>4.6874999999999998E-3</v>
      </c>
    </row>
    <row r="24" spans="1:6" x14ac:dyDescent="0.2">
      <c r="A24" s="28"/>
      <c r="B24" s="23"/>
      <c r="C24" s="30"/>
      <c r="D24" s="30"/>
      <c r="E24" s="23"/>
      <c r="F24" s="64"/>
    </row>
    <row r="25" spans="1:6" ht="22" customHeight="1" thickBot="1" x14ac:dyDescent="0.25">
      <c r="A25" s="33"/>
      <c r="B25" s="34" t="s">
        <v>244</v>
      </c>
      <c r="C25" s="35"/>
      <c r="D25" s="35"/>
      <c r="E25" s="34"/>
      <c r="F25" s="36">
        <f>SUM(F3:F24)</f>
        <v>6.7303240740740733E-2</v>
      </c>
    </row>
  </sheetData>
  <hyperlinks>
    <hyperlink ref="C3" r:id="rId1" xr:uid="{00000000-0004-0000-1300-000000000000}"/>
    <hyperlink ref="D3" r:id="rId2" xr:uid="{00000000-0004-0000-1300-000001000000}"/>
    <hyperlink ref="C4" r:id="rId3" xr:uid="{00000000-0004-0000-1300-000002000000}"/>
    <hyperlink ref="D4" r:id="rId4" xr:uid="{00000000-0004-0000-1300-000003000000}"/>
    <hyperlink ref="C5" r:id="rId5" xr:uid="{00000000-0004-0000-1300-000004000000}"/>
    <hyperlink ref="D5" r:id="rId6" xr:uid="{00000000-0004-0000-1300-000005000000}"/>
    <hyperlink ref="C6" r:id="rId7" xr:uid="{00000000-0004-0000-1300-000006000000}"/>
    <hyperlink ref="D6" r:id="rId8" xr:uid="{00000000-0004-0000-1300-000007000000}"/>
    <hyperlink ref="C7" r:id="rId9" xr:uid="{00000000-0004-0000-1300-000008000000}"/>
    <hyperlink ref="D7" r:id="rId10" xr:uid="{00000000-0004-0000-1300-000009000000}"/>
    <hyperlink ref="C8" r:id="rId11" xr:uid="{00000000-0004-0000-1300-00000A000000}"/>
    <hyperlink ref="D8" r:id="rId12" xr:uid="{00000000-0004-0000-1300-00000B000000}"/>
    <hyperlink ref="C9" r:id="rId13" xr:uid="{00000000-0004-0000-1300-00000C000000}"/>
    <hyperlink ref="D9" r:id="rId14" xr:uid="{00000000-0004-0000-1300-00000D000000}"/>
    <hyperlink ref="C10" r:id="rId15" xr:uid="{00000000-0004-0000-1300-00000E000000}"/>
    <hyperlink ref="D10" r:id="rId16" xr:uid="{00000000-0004-0000-1300-00000F000000}"/>
    <hyperlink ref="C11" r:id="rId17" xr:uid="{00000000-0004-0000-1300-000010000000}"/>
    <hyperlink ref="D11" r:id="rId18" xr:uid="{00000000-0004-0000-1300-000011000000}"/>
    <hyperlink ref="C12" r:id="rId19" xr:uid="{00000000-0004-0000-1300-000012000000}"/>
    <hyperlink ref="C13" r:id="rId20" xr:uid="{00000000-0004-0000-1300-000013000000}"/>
    <hyperlink ref="D13" r:id="rId21" xr:uid="{00000000-0004-0000-1300-000014000000}"/>
    <hyperlink ref="C14" r:id="rId22" xr:uid="{00000000-0004-0000-1300-000015000000}"/>
    <hyperlink ref="D14" r:id="rId23" xr:uid="{00000000-0004-0000-1300-000016000000}"/>
    <hyperlink ref="D15" r:id="rId24" xr:uid="{00000000-0004-0000-1300-000017000000}"/>
    <hyperlink ref="C16" r:id="rId25" xr:uid="{00000000-0004-0000-1300-000018000000}"/>
    <hyperlink ref="D16" r:id="rId26" xr:uid="{00000000-0004-0000-1300-000019000000}"/>
    <hyperlink ref="C17" r:id="rId27" xr:uid="{00000000-0004-0000-1300-00001A000000}"/>
    <hyperlink ref="D17" r:id="rId28" xr:uid="{00000000-0004-0000-1300-00001B000000}"/>
    <hyperlink ref="C18" r:id="rId29" xr:uid="{00000000-0004-0000-1300-00001C000000}"/>
    <hyperlink ref="D18" r:id="rId30" xr:uid="{00000000-0004-0000-1300-00001D000000}"/>
    <hyperlink ref="C19" r:id="rId31" xr:uid="{00000000-0004-0000-1300-00001E000000}"/>
    <hyperlink ref="D19" r:id="rId32" xr:uid="{00000000-0004-0000-1300-00001F000000}"/>
    <hyperlink ref="C20" r:id="rId33" xr:uid="{00000000-0004-0000-1300-000020000000}"/>
    <hyperlink ref="D20" r:id="rId34" xr:uid="{00000000-0004-0000-1300-000021000000}"/>
    <hyperlink ref="C21" r:id="rId35" xr:uid="{00000000-0004-0000-1300-000022000000}"/>
    <hyperlink ref="D21" r:id="rId36" xr:uid="{00000000-0004-0000-1300-000023000000}"/>
    <hyperlink ref="C22" r:id="rId37" xr:uid="{00000000-0004-0000-1300-000024000000}"/>
    <hyperlink ref="D22" r:id="rId38" xr:uid="{00000000-0004-0000-1300-000025000000}"/>
    <hyperlink ref="C23" r:id="rId39" xr:uid="{00000000-0004-0000-1300-000026000000}"/>
    <hyperlink ref="D23" r:id="rId40" xr:uid="{00000000-0004-0000-1300-000027000000}"/>
  </hyperlinks>
  <pageMargins left="0.75" right="0.75" top="1" bottom="1" header="0.5" footer="0.5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263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78</v>
      </c>
      <c r="C4" s="37" t="s">
        <v>2</v>
      </c>
      <c r="D4" s="37" t="s">
        <v>3</v>
      </c>
      <c r="E4" s="24" t="s">
        <v>39</v>
      </c>
      <c r="F4" s="63">
        <v>2.5810185185185185E-3</v>
      </c>
    </row>
    <row r="5" spans="1:6" ht="22" customHeight="1" x14ac:dyDescent="0.2">
      <c r="A5" s="39">
        <v>3</v>
      </c>
      <c r="B5" s="24" t="s">
        <v>85</v>
      </c>
      <c r="C5" s="37" t="s">
        <v>2</v>
      </c>
      <c r="D5" s="37" t="s">
        <v>3</v>
      </c>
      <c r="E5" s="24" t="s">
        <v>48</v>
      </c>
      <c r="F5" s="63">
        <v>1.9791666666666668E-3</v>
      </c>
    </row>
    <row r="6" spans="1:6" ht="22" customHeight="1" x14ac:dyDescent="0.2">
      <c r="A6" s="39">
        <v>4</v>
      </c>
      <c r="B6" s="24" t="s">
        <v>63</v>
      </c>
      <c r="C6" s="37" t="s">
        <v>2</v>
      </c>
      <c r="D6" s="37" t="s">
        <v>3</v>
      </c>
      <c r="E6" s="24" t="s">
        <v>31</v>
      </c>
      <c r="F6" s="63">
        <v>2.7893518518518519E-3</v>
      </c>
    </row>
    <row r="7" spans="1:6" ht="22" customHeight="1" x14ac:dyDescent="0.2">
      <c r="A7" s="39">
        <v>5</v>
      </c>
      <c r="B7" s="24" t="s">
        <v>65</v>
      </c>
      <c r="C7" s="37" t="s">
        <v>2</v>
      </c>
      <c r="D7" s="37" t="s">
        <v>3</v>
      </c>
      <c r="E7" s="24" t="s">
        <v>36</v>
      </c>
      <c r="F7" s="63">
        <v>2.488425925925926E-3</v>
      </c>
    </row>
    <row r="8" spans="1:6" ht="22" customHeight="1" x14ac:dyDescent="0.2">
      <c r="A8" s="39">
        <v>6</v>
      </c>
      <c r="B8" s="24" t="s">
        <v>94</v>
      </c>
      <c r="C8" s="37" t="s">
        <v>2</v>
      </c>
      <c r="D8" s="37" t="s">
        <v>3</v>
      </c>
      <c r="E8" s="24" t="s">
        <v>39</v>
      </c>
      <c r="F8" s="63">
        <v>3.5995370370370369E-3</v>
      </c>
    </row>
    <row r="9" spans="1:6" ht="22" customHeight="1" x14ac:dyDescent="0.2">
      <c r="A9" s="39">
        <v>7</v>
      </c>
      <c r="B9" s="24" t="s">
        <v>92</v>
      </c>
      <c r="C9" s="37" t="s">
        <v>2</v>
      </c>
      <c r="D9" s="37" t="s">
        <v>3</v>
      </c>
      <c r="E9" s="24" t="s">
        <v>36</v>
      </c>
      <c r="F9" s="63">
        <v>2.0486111111111113E-3</v>
      </c>
    </row>
    <row r="10" spans="1:6" ht="22" customHeight="1" x14ac:dyDescent="0.2">
      <c r="A10" s="39">
        <v>8</v>
      </c>
      <c r="B10" s="24" t="s">
        <v>97</v>
      </c>
      <c r="C10" s="37" t="s">
        <v>2</v>
      </c>
      <c r="D10" s="37" t="s">
        <v>3</v>
      </c>
      <c r="E10" s="24" t="s">
        <v>31</v>
      </c>
      <c r="F10" s="63">
        <v>3.2291666666666666E-3</v>
      </c>
    </row>
    <row r="11" spans="1:6" ht="22" customHeight="1" x14ac:dyDescent="0.2">
      <c r="A11" s="39">
        <v>9</v>
      </c>
      <c r="B11" s="24" t="s">
        <v>52</v>
      </c>
      <c r="C11" s="37" t="s">
        <v>2</v>
      </c>
      <c r="D11" s="37" t="s">
        <v>3</v>
      </c>
      <c r="E11" s="24" t="s">
        <v>31</v>
      </c>
      <c r="F11" s="63">
        <f>VLOOKUP(B11,'Song Tracker'!$A$3:$F$48,6,FALSE)</f>
        <v>5.5555555555555558E-3</v>
      </c>
    </row>
    <row r="12" spans="1:6" ht="22" customHeight="1" x14ac:dyDescent="0.2">
      <c r="A12" s="39">
        <v>10</v>
      </c>
      <c r="B12" s="24" t="s">
        <v>123</v>
      </c>
      <c r="C12" s="37" t="s">
        <v>2</v>
      </c>
      <c r="D12" s="37" t="s">
        <v>3</v>
      </c>
      <c r="E12" s="24" t="s">
        <v>36</v>
      </c>
      <c r="F12" s="63">
        <v>3.3217592592592595E-3</v>
      </c>
    </row>
    <row r="13" spans="1:6" ht="22" customHeight="1" x14ac:dyDescent="0.2">
      <c r="A13" s="39">
        <v>11</v>
      </c>
      <c r="B13" s="24" t="s">
        <v>74</v>
      </c>
      <c r="C13" s="37" t="s">
        <v>2</v>
      </c>
      <c r="D13" s="37" t="s">
        <v>3</v>
      </c>
      <c r="E13" s="24" t="s">
        <v>39</v>
      </c>
      <c r="F13" s="63">
        <v>4.6874999999999998E-3</v>
      </c>
    </row>
    <row r="14" spans="1:6" x14ac:dyDescent="0.2">
      <c r="A14" s="28"/>
      <c r="B14" s="23"/>
      <c r="C14" s="30"/>
      <c r="D14" s="30"/>
      <c r="E14" s="23"/>
      <c r="F14" s="64"/>
    </row>
    <row r="15" spans="1:6" ht="22" customHeight="1" thickBot="1" x14ac:dyDescent="0.25">
      <c r="A15" s="33"/>
      <c r="B15" s="34" t="s">
        <v>244</v>
      </c>
      <c r="C15" s="35"/>
      <c r="D15" s="35"/>
      <c r="E15" s="34"/>
      <c r="F15" s="36">
        <f>SUM(F3:F14)</f>
        <v>3.4467592592592591E-2</v>
      </c>
    </row>
  </sheetData>
  <hyperlinks>
    <hyperlink ref="C3" r:id="rId1" xr:uid="{00000000-0004-0000-1400-000000000000}"/>
    <hyperlink ref="D3" r:id="rId2" xr:uid="{00000000-0004-0000-1400-000001000000}"/>
    <hyperlink ref="C4" r:id="rId3" xr:uid="{00000000-0004-0000-1400-000002000000}"/>
    <hyperlink ref="D4" r:id="rId4" xr:uid="{00000000-0004-0000-1400-000003000000}"/>
    <hyperlink ref="C5" r:id="rId5" xr:uid="{00000000-0004-0000-1400-000004000000}"/>
    <hyperlink ref="D5" r:id="rId6" xr:uid="{00000000-0004-0000-1400-000005000000}"/>
    <hyperlink ref="C6" r:id="rId7" xr:uid="{00000000-0004-0000-1400-000006000000}"/>
    <hyperlink ref="D6" r:id="rId8" xr:uid="{00000000-0004-0000-1400-000007000000}"/>
    <hyperlink ref="C7" r:id="rId9" xr:uid="{00000000-0004-0000-1400-000008000000}"/>
    <hyperlink ref="D7" r:id="rId10" xr:uid="{00000000-0004-0000-1400-000009000000}"/>
    <hyperlink ref="C8" r:id="rId11" xr:uid="{00000000-0004-0000-1400-00000A000000}"/>
    <hyperlink ref="D8" r:id="rId12" xr:uid="{00000000-0004-0000-1400-00000B000000}"/>
    <hyperlink ref="C9" r:id="rId13" xr:uid="{00000000-0004-0000-1400-00000C000000}"/>
    <hyperlink ref="D9" r:id="rId14" xr:uid="{00000000-0004-0000-1400-00000D000000}"/>
    <hyperlink ref="C10" r:id="rId15" xr:uid="{00000000-0004-0000-1400-00000E000000}"/>
    <hyperlink ref="D10" r:id="rId16" xr:uid="{00000000-0004-0000-1400-00000F000000}"/>
    <hyperlink ref="C11" r:id="rId17" xr:uid="{00000000-0004-0000-1400-000010000000}"/>
    <hyperlink ref="D11" r:id="rId18" xr:uid="{00000000-0004-0000-1400-000011000000}"/>
    <hyperlink ref="C12" r:id="rId19" xr:uid="{00000000-0004-0000-1400-000012000000}"/>
    <hyperlink ref="D12" r:id="rId20" xr:uid="{00000000-0004-0000-1400-000013000000}"/>
    <hyperlink ref="C13" r:id="rId21" xr:uid="{00000000-0004-0000-1400-000014000000}"/>
    <hyperlink ref="D13" r:id="rId22" xr:uid="{00000000-0004-0000-1400-000015000000}"/>
  </hyperlinks>
  <pageMargins left="0.75" right="0.75" top="1" bottom="1" header="0.5" footer="0.5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0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264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127</v>
      </c>
      <c r="C4" s="37" t="s">
        <v>2</v>
      </c>
      <c r="D4" s="37" t="s">
        <v>3</v>
      </c>
      <c r="E4" s="24" t="s">
        <v>31</v>
      </c>
      <c r="F4" s="63">
        <v>2.0949074074074073E-3</v>
      </c>
    </row>
    <row r="5" spans="1:6" ht="22" customHeight="1" x14ac:dyDescent="0.2">
      <c r="A5" s="39">
        <v>3</v>
      </c>
      <c r="B5" s="24" t="s">
        <v>94</v>
      </c>
      <c r="C5" s="37" t="s">
        <v>2</v>
      </c>
      <c r="D5" s="37" t="s">
        <v>3</v>
      </c>
      <c r="E5" s="24" t="s">
        <v>39</v>
      </c>
      <c r="F5" s="63">
        <v>3.5995370370370369E-3</v>
      </c>
    </row>
    <row r="6" spans="1:6" ht="22" customHeight="1" x14ac:dyDescent="0.2">
      <c r="A6" s="39">
        <v>4</v>
      </c>
      <c r="B6" s="24" t="s">
        <v>65</v>
      </c>
      <c r="C6" s="37" t="s">
        <v>2</v>
      </c>
      <c r="D6" s="37" t="s">
        <v>3</v>
      </c>
      <c r="E6" s="24" t="s">
        <v>36</v>
      </c>
      <c r="F6" s="63">
        <v>2.488425925925926E-3</v>
      </c>
    </row>
    <row r="7" spans="1:6" ht="22" customHeight="1" x14ac:dyDescent="0.2">
      <c r="A7" s="39">
        <v>5</v>
      </c>
      <c r="B7" s="24" t="s">
        <v>85</v>
      </c>
      <c r="C7" s="37" t="s">
        <v>2</v>
      </c>
      <c r="D7" s="37" t="s">
        <v>3</v>
      </c>
      <c r="E7" s="24" t="s">
        <v>48</v>
      </c>
      <c r="F7" s="63">
        <v>1.9791666666666668E-3</v>
      </c>
    </row>
    <row r="8" spans="1:6" ht="22" customHeight="1" x14ac:dyDescent="0.2">
      <c r="A8" s="39">
        <v>6</v>
      </c>
      <c r="B8" s="24" t="s">
        <v>63</v>
      </c>
      <c r="C8" s="37" t="s">
        <v>2</v>
      </c>
      <c r="D8" s="37" t="s">
        <v>3</v>
      </c>
      <c r="E8" s="24" t="s">
        <v>31</v>
      </c>
      <c r="F8" s="63">
        <v>2.7893518518518519E-3</v>
      </c>
    </row>
    <row r="9" spans="1:6" ht="22" customHeight="1" x14ac:dyDescent="0.2">
      <c r="A9" s="39">
        <v>7</v>
      </c>
      <c r="B9" s="24" t="s">
        <v>247</v>
      </c>
      <c r="C9" s="37" t="s">
        <v>2</v>
      </c>
      <c r="D9" s="37" t="s">
        <v>3</v>
      </c>
      <c r="E9" s="24" t="s">
        <v>39</v>
      </c>
      <c r="F9" s="63">
        <v>2.5810185185185185E-3</v>
      </c>
    </row>
    <row r="10" spans="1:6" ht="22" customHeight="1" x14ac:dyDescent="0.2">
      <c r="A10" s="39">
        <v>8</v>
      </c>
      <c r="B10" s="24" t="s">
        <v>92</v>
      </c>
      <c r="C10" s="37" t="s">
        <v>2</v>
      </c>
      <c r="D10" s="37" t="s">
        <v>3</v>
      </c>
      <c r="E10" s="24" t="s">
        <v>36</v>
      </c>
      <c r="F10" s="63">
        <v>2.0486111111111113E-3</v>
      </c>
    </row>
    <row r="11" spans="1:6" ht="22" customHeight="1" x14ac:dyDescent="0.2">
      <c r="A11" s="39">
        <v>9</v>
      </c>
      <c r="B11" s="24" t="s">
        <v>52</v>
      </c>
      <c r="C11" s="37" t="s">
        <v>2</v>
      </c>
      <c r="D11" s="37" t="s">
        <v>3</v>
      </c>
      <c r="E11" s="24" t="s">
        <v>31</v>
      </c>
      <c r="F11" s="63">
        <f>VLOOKUP(B11,'Song Tracker'!$A$3:$F$48,6,FALSE)</f>
        <v>5.5555555555555558E-3</v>
      </c>
    </row>
    <row r="12" spans="1:6" ht="22" customHeight="1" x14ac:dyDescent="0.2">
      <c r="A12" s="39">
        <v>10</v>
      </c>
      <c r="B12" s="24" t="s">
        <v>82</v>
      </c>
      <c r="C12" s="37" t="s">
        <v>2</v>
      </c>
      <c r="D12" s="38"/>
      <c r="E12" s="24" t="s">
        <v>36</v>
      </c>
      <c r="F12" s="63">
        <v>3.8541666666666663E-3</v>
      </c>
    </row>
    <row r="13" spans="1:6" ht="22" customHeight="1" x14ac:dyDescent="0.2">
      <c r="A13" s="39">
        <v>11</v>
      </c>
      <c r="B13" s="24" t="s">
        <v>46</v>
      </c>
      <c r="C13" s="37" t="s">
        <v>2</v>
      </c>
      <c r="D13" s="37" t="s">
        <v>3</v>
      </c>
      <c r="E13" s="24" t="s">
        <v>48</v>
      </c>
      <c r="F13" s="63">
        <v>1.7476851851851852E-3</v>
      </c>
    </row>
    <row r="14" spans="1:6" ht="22" customHeight="1" x14ac:dyDescent="0.2">
      <c r="A14" s="39">
        <v>12</v>
      </c>
      <c r="B14" s="24" t="s">
        <v>101</v>
      </c>
      <c r="C14" s="37" t="s">
        <v>2</v>
      </c>
      <c r="D14" s="37" t="s">
        <v>3</v>
      </c>
      <c r="E14" s="24" t="s">
        <v>31</v>
      </c>
      <c r="F14" s="63">
        <v>4.1319444444444442E-3</v>
      </c>
    </row>
    <row r="15" spans="1:6" ht="22" customHeight="1" x14ac:dyDescent="0.2">
      <c r="A15" s="39">
        <v>13</v>
      </c>
      <c r="B15" s="24" t="s">
        <v>78</v>
      </c>
      <c r="C15" s="37" t="s">
        <v>2</v>
      </c>
      <c r="D15" s="37" t="s">
        <v>3</v>
      </c>
      <c r="E15" s="24" t="s">
        <v>39</v>
      </c>
      <c r="F15" s="63">
        <v>2.5810185185185185E-3</v>
      </c>
    </row>
    <row r="16" spans="1:6" ht="22" customHeight="1" x14ac:dyDescent="0.2">
      <c r="A16" s="39">
        <v>14</v>
      </c>
      <c r="B16" s="24" t="s">
        <v>123</v>
      </c>
      <c r="C16" s="37" t="s">
        <v>2</v>
      </c>
      <c r="D16" s="37" t="s">
        <v>3</v>
      </c>
      <c r="E16" s="24" t="s">
        <v>36</v>
      </c>
      <c r="F16" s="63">
        <v>3.3217592592592595E-3</v>
      </c>
    </row>
    <row r="17" spans="1:6" ht="22" customHeight="1" x14ac:dyDescent="0.2">
      <c r="A17" s="39">
        <v>15</v>
      </c>
      <c r="B17" s="24" t="s">
        <v>97</v>
      </c>
      <c r="C17" s="37" t="s">
        <v>2</v>
      </c>
      <c r="D17" s="37" t="s">
        <v>3</v>
      </c>
      <c r="E17" s="24" t="s">
        <v>31</v>
      </c>
      <c r="F17" s="63">
        <v>3.2291666666666666E-3</v>
      </c>
    </row>
    <row r="18" spans="1:6" ht="22" customHeight="1" x14ac:dyDescent="0.2">
      <c r="A18" s="39">
        <v>16</v>
      </c>
      <c r="B18" s="24" t="s">
        <v>103</v>
      </c>
      <c r="C18" s="37" t="s">
        <v>2</v>
      </c>
      <c r="D18" s="37" t="s">
        <v>3</v>
      </c>
      <c r="E18" s="24" t="s">
        <v>31</v>
      </c>
      <c r="F18" s="63">
        <v>5.9606481481481481E-3</v>
      </c>
    </row>
    <row r="19" spans="1:6" x14ac:dyDescent="0.2">
      <c r="A19" s="28"/>
      <c r="B19" s="23"/>
      <c r="C19" s="30"/>
      <c r="D19" s="30"/>
      <c r="E19" s="23"/>
      <c r="F19" s="64"/>
    </row>
    <row r="20" spans="1:6" ht="22" customHeight="1" thickBot="1" x14ac:dyDescent="0.25">
      <c r="A20" s="33"/>
      <c r="B20" s="34" t="s">
        <v>244</v>
      </c>
      <c r="C20" s="35"/>
      <c r="D20" s="35"/>
      <c r="E20" s="34"/>
      <c r="F20" s="36">
        <f>SUM(F3:F19)</f>
        <v>5.0150462962962959E-2</v>
      </c>
    </row>
  </sheetData>
  <hyperlinks>
    <hyperlink ref="C3" r:id="rId1" xr:uid="{00000000-0004-0000-1500-000000000000}"/>
    <hyperlink ref="D3" r:id="rId2" xr:uid="{00000000-0004-0000-1500-000001000000}"/>
    <hyperlink ref="C4" r:id="rId3" xr:uid="{00000000-0004-0000-1500-000002000000}"/>
    <hyperlink ref="D4" r:id="rId4" xr:uid="{00000000-0004-0000-1500-000003000000}"/>
    <hyperlink ref="C5" r:id="rId5" xr:uid="{00000000-0004-0000-1500-000004000000}"/>
    <hyperlink ref="D5" r:id="rId6" xr:uid="{00000000-0004-0000-1500-000005000000}"/>
    <hyperlink ref="C6" r:id="rId7" xr:uid="{00000000-0004-0000-1500-000006000000}"/>
    <hyperlink ref="D6" r:id="rId8" xr:uid="{00000000-0004-0000-1500-000007000000}"/>
    <hyperlink ref="C7" r:id="rId9" xr:uid="{00000000-0004-0000-1500-000008000000}"/>
    <hyperlink ref="D7" r:id="rId10" xr:uid="{00000000-0004-0000-1500-000009000000}"/>
    <hyperlink ref="C8" r:id="rId11" xr:uid="{00000000-0004-0000-1500-00000A000000}"/>
    <hyperlink ref="D8" r:id="rId12" xr:uid="{00000000-0004-0000-1500-00000B000000}"/>
    <hyperlink ref="C9" r:id="rId13" xr:uid="{00000000-0004-0000-1500-00000C000000}"/>
    <hyperlink ref="D9" r:id="rId14" xr:uid="{00000000-0004-0000-1500-00000D000000}"/>
    <hyperlink ref="C10" r:id="rId15" xr:uid="{00000000-0004-0000-1500-00000E000000}"/>
    <hyperlink ref="D10" r:id="rId16" xr:uid="{00000000-0004-0000-1500-00000F000000}"/>
    <hyperlink ref="C11" r:id="rId17" xr:uid="{00000000-0004-0000-1500-000010000000}"/>
    <hyperlink ref="D11" r:id="rId18" xr:uid="{00000000-0004-0000-1500-000011000000}"/>
    <hyperlink ref="C12" r:id="rId19" xr:uid="{00000000-0004-0000-1500-000012000000}"/>
    <hyperlink ref="C13" r:id="rId20" xr:uid="{00000000-0004-0000-1500-000013000000}"/>
    <hyperlink ref="D13" r:id="rId21" xr:uid="{00000000-0004-0000-1500-000014000000}"/>
    <hyperlink ref="C14" r:id="rId22" xr:uid="{00000000-0004-0000-1500-000015000000}"/>
    <hyperlink ref="D14" r:id="rId23" xr:uid="{00000000-0004-0000-1500-000016000000}"/>
    <hyperlink ref="C15" r:id="rId24" xr:uid="{00000000-0004-0000-1500-000017000000}"/>
    <hyperlink ref="D15" r:id="rId25" xr:uid="{00000000-0004-0000-1500-000018000000}"/>
    <hyperlink ref="C16" r:id="rId26" xr:uid="{00000000-0004-0000-1500-000019000000}"/>
    <hyperlink ref="D16" r:id="rId27" xr:uid="{00000000-0004-0000-1500-00001A000000}"/>
    <hyperlink ref="C17" r:id="rId28" xr:uid="{00000000-0004-0000-1500-00001B000000}"/>
    <hyperlink ref="D17" r:id="rId29" xr:uid="{00000000-0004-0000-1500-00001C000000}"/>
    <hyperlink ref="C18" r:id="rId30" xr:uid="{00000000-0004-0000-1500-00001D000000}"/>
    <hyperlink ref="D18" r:id="rId31" xr:uid="{00000000-0004-0000-1500-00001E000000}"/>
  </hyperlinks>
  <pageMargins left="0.75" right="0.75" top="1" bottom="1" header="0.5" footer="0.5"/>
  <pageSetup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5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265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127</v>
      </c>
      <c r="C4" s="37" t="s">
        <v>2</v>
      </c>
      <c r="D4" s="37" t="s">
        <v>3</v>
      </c>
      <c r="E4" s="24" t="s">
        <v>31</v>
      </c>
      <c r="F4" s="63">
        <v>2.0949074074074073E-3</v>
      </c>
    </row>
    <row r="5" spans="1:6" ht="22" customHeight="1" x14ac:dyDescent="0.2">
      <c r="A5" s="39">
        <v>3</v>
      </c>
      <c r="B5" s="24" t="s">
        <v>78</v>
      </c>
      <c r="C5" s="37" t="s">
        <v>2</v>
      </c>
      <c r="D5" s="37" t="s">
        <v>3</v>
      </c>
      <c r="E5" s="24" t="s">
        <v>39</v>
      </c>
      <c r="F5" s="63">
        <v>2.5810185185185185E-3</v>
      </c>
    </row>
    <row r="6" spans="1:6" ht="22" customHeight="1" x14ac:dyDescent="0.2">
      <c r="A6" s="39">
        <v>4</v>
      </c>
      <c r="B6" s="24" t="s">
        <v>123</v>
      </c>
      <c r="C6" s="37" t="s">
        <v>2</v>
      </c>
      <c r="D6" s="37" t="s">
        <v>3</v>
      </c>
      <c r="E6" s="24" t="s">
        <v>36</v>
      </c>
      <c r="F6" s="63">
        <v>3.3217592592592595E-3</v>
      </c>
    </row>
    <row r="7" spans="1:6" ht="22" customHeight="1" x14ac:dyDescent="0.2">
      <c r="A7" s="39">
        <v>5</v>
      </c>
      <c r="B7" s="24" t="s">
        <v>52</v>
      </c>
      <c r="C7" s="37" t="s">
        <v>2</v>
      </c>
      <c r="D7" s="37" t="s">
        <v>3</v>
      </c>
      <c r="E7" s="24" t="s">
        <v>31</v>
      </c>
      <c r="F7" s="63">
        <f>VLOOKUP(B7,'Song Tracker'!$A$3:$F$48,6,FALSE)</f>
        <v>5.5555555555555558E-3</v>
      </c>
    </row>
    <row r="8" spans="1:6" ht="22" customHeight="1" x14ac:dyDescent="0.2">
      <c r="A8" s="39">
        <v>6</v>
      </c>
      <c r="B8" s="24" t="s">
        <v>104</v>
      </c>
      <c r="C8" s="37" t="s">
        <v>2</v>
      </c>
      <c r="D8" s="37" t="s">
        <v>3</v>
      </c>
      <c r="E8" s="24" t="s">
        <v>36</v>
      </c>
      <c r="F8" s="63">
        <f>VLOOKUP(B8,'Song Tracker'!$A$3:$F$48,6,FALSE)</f>
        <v>2.4305555555555556E-3</v>
      </c>
    </row>
    <row r="9" spans="1:6" ht="22" customHeight="1" x14ac:dyDescent="0.2">
      <c r="A9" s="39">
        <v>7</v>
      </c>
      <c r="B9" s="24" t="s">
        <v>101</v>
      </c>
      <c r="C9" s="37" t="s">
        <v>2</v>
      </c>
      <c r="D9" s="37" t="s">
        <v>3</v>
      </c>
      <c r="E9" s="24" t="s">
        <v>31</v>
      </c>
      <c r="F9" s="63">
        <v>4.1319444444444442E-3</v>
      </c>
    </row>
    <row r="10" spans="1:6" ht="22" customHeight="1" x14ac:dyDescent="0.2">
      <c r="A10" s="39">
        <v>8</v>
      </c>
      <c r="B10" s="24" t="s">
        <v>74</v>
      </c>
      <c r="C10" s="37" t="s">
        <v>2</v>
      </c>
      <c r="D10" s="37" t="s">
        <v>3</v>
      </c>
      <c r="E10" s="24" t="s">
        <v>39</v>
      </c>
      <c r="F10" s="63">
        <v>4.6874999999999998E-3</v>
      </c>
    </row>
    <row r="11" spans="1:6" ht="22" customHeight="1" x14ac:dyDescent="0.2">
      <c r="A11" s="39">
        <v>9</v>
      </c>
      <c r="B11" s="24" t="s">
        <v>63</v>
      </c>
      <c r="C11" s="37" t="s">
        <v>2</v>
      </c>
      <c r="D11" s="37" t="s">
        <v>3</v>
      </c>
      <c r="E11" s="24" t="s">
        <v>31</v>
      </c>
      <c r="F11" s="63">
        <v>2.7893518518518519E-3</v>
      </c>
    </row>
    <row r="12" spans="1:6" ht="22" customHeight="1" x14ac:dyDescent="0.2">
      <c r="A12" s="39">
        <v>10</v>
      </c>
      <c r="B12" s="24" t="s">
        <v>92</v>
      </c>
      <c r="C12" s="37" t="s">
        <v>2</v>
      </c>
      <c r="D12" s="37" t="s">
        <v>3</v>
      </c>
      <c r="E12" s="24" t="s">
        <v>36</v>
      </c>
      <c r="F12" s="63">
        <v>2.0486111111111113E-3</v>
      </c>
    </row>
    <row r="13" spans="1:6" ht="22" customHeight="1" x14ac:dyDescent="0.2">
      <c r="A13" s="39">
        <v>11</v>
      </c>
      <c r="B13" s="24" t="s">
        <v>103</v>
      </c>
      <c r="C13" s="37" t="s">
        <v>2</v>
      </c>
      <c r="D13" s="37" t="s">
        <v>3</v>
      </c>
      <c r="E13" s="24" t="s">
        <v>31</v>
      </c>
      <c r="F13" s="63">
        <v>5.9606481481481481E-3</v>
      </c>
    </row>
    <row r="14" spans="1:6" ht="22" customHeight="1" x14ac:dyDescent="0.2">
      <c r="A14" s="28"/>
      <c r="B14" s="23"/>
      <c r="C14" s="30"/>
      <c r="D14" s="30"/>
      <c r="E14" s="23"/>
      <c r="F14" s="64"/>
    </row>
    <row r="15" spans="1:6" ht="22" customHeight="1" thickBot="1" x14ac:dyDescent="0.25">
      <c r="A15" s="33"/>
      <c r="B15" s="34" t="s">
        <v>244</v>
      </c>
      <c r="C15" s="35"/>
      <c r="D15" s="35"/>
      <c r="E15" s="34"/>
      <c r="F15" s="36">
        <f>SUM(F3:F14)</f>
        <v>3.7789351851851852E-2</v>
      </c>
    </row>
  </sheetData>
  <hyperlinks>
    <hyperlink ref="C3" r:id="rId1" xr:uid="{00000000-0004-0000-1600-000000000000}"/>
    <hyperlink ref="D3" r:id="rId2" xr:uid="{00000000-0004-0000-1600-000001000000}"/>
    <hyperlink ref="C4" r:id="rId3" xr:uid="{00000000-0004-0000-1600-000002000000}"/>
    <hyperlink ref="D4" r:id="rId4" xr:uid="{00000000-0004-0000-1600-000003000000}"/>
    <hyperlink ref="C5" r:id="rId5" xr:uid="{00000000-0004-0000-1600-000004000000}"/>
    <hyperlink ref="D5" r:id="rId6" xr:uid="{00000000-0004-0000-1600-000005000000}"/>
    <hyperlink ref="C6" r:id="rId7" xr:uid="{00000000-0004-0000-1600-000006000000}"/>
    <hyperlink ref="D6" r:id="rId8" xr:uid="{00000000-0004-0000-1600-000007000000}"/>
    <hyperlink ref="C7" r:id="rId9" xr:uid="{00000000-0004-0000-1600-000008000000}"/>
    <hyperlink ref="D7" r:id="rId10" xr:uid="{00000000-0004-0000-1600-000009000000}"/>
    <hyperlink ref="C8" r:id="rId11" xr:uid="{00000000-0004-0000-1600-00000A000000}"/>
    <hyperlink ref="D8" r:id="rId12" xr:uid="{00000000-0004-0000-1600-00000B000000}"/>
    <hyperlink ref="C9" r:id="rId13" xr:uid="{00000000-0004-0000-1600-00000C000000}"/>
    <hyperlink ref="D9" r:id="rId14" xr:uid="{00000000-0004-0000-1600-00000D000000}"/>
    <hyperlink ref="C10" r:id="rId15" xr:uid="{00000000-0004-0000-1600-00000E000000}"/>
    <hyperlink ref="D10" r:id="rId16" xr:uid="{00000000-0004-0000-1600-00000F000000}"/>
    <hyperlink ref="C11" r:id="rId17" xr:uid="{00000000-0004-0000-1600-000010000000}"/>
    <hyperlink ref="D11" r:id="rId18" xr:uid="{00000000-0004-0000-1600-000011000000}"/>
    <hyperlink ref="C12" r:id="rId19" xr:uid="{00000000-0004-0000-1600-000012000000}"/>
    <hyperlink ref="D12" r:id="rId20" xr:uid="{00000000-0004-0000-1600-000013000000}"/>
    <hyperlink ref="C13" r:id="rId21" xr:uid="{00000000-0004-0000-1600-000014000000}"/>
    <hyperlink ref="D13" r:id="rId22" xr:uid="{00000000-0004-0000-1600-000015000000}"/>
  </hyperlinks>
  <pageMargins left="0.75" right="0.75" top="1" bottom="1" header="0.5" footer="0.5"/>
  <pageSetup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workbookViewId="0">
      <pane ySplit="2" topLeftCell="A3" activePane="bottomLeft" state="frozen"/>
      <selection pane="bottomLeft" activeCell="F1" sqref="B1:F1"/>
    </sheetView>
  </sheetViews>
  <sheetFormatPr baseColWidth="10" defaultColWidth="8.83203125" defaultRowHeight="15" x14ac:dyDescent="0.2"/>
  <cols>
    <col min="1" max="1" width="6.6640625" style="19" customWidth="1"/>
    <col min="2" max="2" width="30" customWidth="1"/>
    <col min="3" max="4" width="6.6640625" style="19" customWidth="1"/>
    <col min="5" max="5" width="16.6640625" customWidth="1"/>
    <col min="6" max="6" width="11.6640625" style="19" customWidth="1"/>
  </cols>
  <sheetData>
    <row r="1" spans="1:6" ht="28" customHeight="1" x14ac:dyDescent="0.25">
      <c r="A1" s="26" t="s">
        <v>266</v>
      </c>
      <c r="B1" s="20"/>
      <c r="C1" s="29"/>
      <c r="D1" s="29"/>
      <c r="E1" s="20"/>
      <c r="F1" s="31"/>
    </row>
    <row r="2" spans="1:6" ht="22" customHeight="1" x14ac:dyDescent="0.2">
      <c r="A2" s="27" t="s">
        <v>242</v>
      </c>
      <c r="B2" s="21" t="s">
        <v>1</v>
      </c>
      <c r="C2" s="22" t="s">
        <v>2</v>
      </c>
      <c r="D2" s="22" t="s">
        <v>3</v>
      </c>
      <c r="E2" s="21" t="s">
        <v>243</v>
      </c>
      <c r="F2" s="25" t="s">
        <v>6</v>
      </c>
    </row>
    <row r="3" spans="1:6" ht="22" customHeight="1" x14ac:dyDescent="0.2">
      <c r="A3" s="39">
        <v>1</v>
      </c>
      <c r="B3" s="24" t="s">
        <v>49</v>
      </c>
      <c r="C3" s="37" t="s">
        <v>2</v>
      </c>
      <c r="D3" s="37" t="s">
        <v>3</v>
      </c>
      <c r="E3" s="24" t="s">
        <v>31</v>
      </c>
      <c r="F3" s="63">
        <v>2.1874999999999998E-3</v>
      </c>
    </row>
    <row r="4" spans="1:6" ht="22" customHeight="1" x14ac:dyDescent="0.2">
      <c r="A4" s="39">
        <v>2</v>
      </c>
      <c r="B4" s="24" t="s">
        <v>65</v>
      </c>
      <c r="C4" s="37" t="s">
        <v>2</v>
      </c>
      <c r="D4" s="37" t="s">
        <v>3</v>
      </c>
      <c r="E4" s="24" t="s">
        <v>36</v>
      </c>
      <c r="F4" s="63">
        <v>2.488425925925926E-3</v>
      </c>
    </row>
    <row r="5" spans="1:6" ht="22" customHeight="1" x14ac:dyDescent="0.2">
      <c r="A5" s="39">
        <v>3</v>
      </c>
      <c r="B5" s="24" t="s">
        <v>96</v>
      </c>
      <c r="C5" s="37" t="s">
        <v>2</v>
      </c>
      <c r="D5" s="37" t="s">
        <v>3</v>
      </c>
      <c r="E5" s="24" t="s">
        <v>48</v>
      </c>
      <c r="F5" s="63">
        <f>VLOOKUP(B5,'Song Tracker'!$A$3:$F$48,6,FALSE)</f>
        <v>1.9675925925925924E-3</v>
      </c>
    </row>
    <row r="6" spans="1:6" ht="22" customHeight="1" x14ac:dyDescent="0.2">
      <c r="A6" s="39">
        <v>4</v>
      </c>
      <c r="B6" s="24" t="s">
        <v>52</v>
      </c>
      <c r="C6" s="37" t="s">
        <v>2</v>
      </c>
      <c r="D6" s="37" t="s">
        <v>3</v>
      </c>
      <c r="E6" s="24" t="s">
        <v>31</v>
      </c>
      <c r="F6" s="63">
        <f>VLOOKUP(B6,'Song Tracker'!$A$3:$F$48,6,FALSE)</f>
        <v>5.5555555555555558E-3</v>
      </c>
    </row>
    <row r="7" spans="1:6" ht="22" customHeight="1" x14ac:dyDescent="0.2">
      <c r="A7" s="39">
        <v>5</v>
      </c>
      <c r="B7" s="24" t="s">
        <v>46</v>
      </c>
      <c r="C7" s="37" t="s">
        <v>2</v>
      </c>
      <c r="D7" s="37" t="s">
        <v>3</v>
      </c>
      <c r="E7" s="24" t="s">
        <v>48</v>
      </c>
      <c r="F7" s="63">
        <v>1.7476851851851852E-3</v>
      </c>
    </row>
    <row r="8" spans="1:6" ht="22" customHeight="1" x14ac:dyDescent="0.2">
      <c r="A8" s="39">
        <v>6</v>
      </c>
      <c r="B8" s="24" t="s">
        <v>123</v>
      </c>
      <c r="C8" s="37" t="s">
        <v>2</v>
      </c>
      <c r="D8" s="37" t="s">
        <v>3</v>
      </c>
      <c r="E8" s="24" t="s">
        <v>36</v>
      </c>
      <c r="F8" s="63">
        <v>3.3217592592592595E-3</v>
      </c>
    </row>
    <row r="9" spans="1:6" ht="22" customHeight="1" x14ac:dyDescent="0.2">
      <c r="A9" s="39">
        <v>7</v>
      </c>
      <c r="B9" s="24" t="s">
        <v>61</v>
      </c>
      <c r="C9" s="38"/>
      <c r="D9" s="37" t="s">
        <v>3</v>
      </c>
      <c r="E9" s="24" t="s">
        <v>31</v>
      </c>
      <c r="F9" s="63">
        <f>VLOOKUP(B9,'Song Tracker'!$A$3:$F$48,6,FALSE)</f>
        <v>1.7708333333333332E-3</v>
      </c>
    </row>
    <row r="10" spans="1:6" ht="22" customHeight="1" x14ac:dyDescent="0.2">
      <c r="A10" s="39">
        <v>8</v>
      </c>
      <c r="B10" s="24" t="s">
        <v>78</v>
      </c>
      <c r="C10" s="37" t="s">
        <v>2</v>
      </c>
      <c r="D10" s="37" t="s">
        <v>3</v>
      </c>
      <c r="E10" s="24" t="s">
        <v>39</v>
      </c>
      <c r="F10" s="63">
        <v>2.5810185185185185E-3</v>
      </c>
    </row>
    <row r="11" spans="1:6" ht="22" customHeight="1" x14ac:dyDescent="0.2">
      <c r="A11" s="39">
        <v>9</v>
      </c>
      <c r="B11" s="24" t="s">
        <v>127</v>
      </c>
      <c r="C11" s="37" t="s">
        <v>2</v>
      </c>
      <c r="D11" s="37" t="s">
        <v>3</v>
      </c>
      <c r="E11" s="24" t="s">
        <v>31</v>
      </c>
      <c r="F11" s="63">
        <v>2.0949074074074073E-3</v>
      </c>
    </row>
    <row r="12" spans="1:6" ht="22" customHeight="1" x14ac:dyDescent="0.2">
      <c r="A12" s="39">
        <v>10</v>
      </c>
      <c r="B12" s="24" t="s">
        <v>74</v>
      </c>
      <c r="C12" s="37" t="s">
        <v>2</v>
      </c>
      <c r="D12" s="37" t="s">
        <v>3</v>
      </c>
      <c r="E12" s="24" t="s">
        <v>39</v>
      </c>
      <c r="F12" s="63">
        <v>4.6874999999999998E-3</v>
      </c>
    </row>
    <row r="13" spans="1:6" x14ac:dyDescent="0.2">
      <c r="A13" s="28"/>
      <c r="B13" s="23"/>
      <c r="C13" s="30"/>
      <c r="D13" s="30"/>
      <c r="E13" s="23"/>
      <c r="F13" s="64"/>
    </row>
    <row r="14" spans="1:6" ht="22" customHeight="1" thickBot="1" x14ac:dyDescent="0.25">
      <c r="A14" s="33"/>
      <c r="B14" s="34" t="s">
        <v>244</v>
      </c>
      <c r="C14" s="35"/>
      <c r="D14" s="35"/>
      <c r="E14" s="34"/>
      <c r="F14" s="36">
        <f>SUM(F3:F13)</f>
        <v>2.8402777777777777E-2</v>
      </c>
    </row>
  </sheetData>
  <hyperlinks>
    <hyperlink ref="C3" r:id="rId1" xr:uid="{00000000-0004-0000-1700-000000000000}"/>
    <hyperlink ref="D3" r:id="rId2" xr:uid="{00000000-0004-0000-1700-000001000000}"/>
    <hyperlink ref="C4" r:id="rId3" xr:uid="{00000000-0004-0000-1700-000002000000}"/>
    <hyperlink ref="D4" r:id="rId4" xr:uid="{00000000-0004-0000-1700-000003000000}"/>
    <hyperlink ref="C5" r:id="rId5" xr:uid="{00000000-0004-0000-1700-000004000000}"/>
    <hyperlink ref="D5" r:id="rId6" xr:uid="{00000000-0004-0000-1700-000005000000}"/>
    <hyperlink ref="C6" r:id="rId7" xr:uid="{00000000-0004-0000-1700-000006000000}"/>
    <hyperlink ref="D6" r:id="rId8" xr:uid="{00000000-0004-0000-1700-000007000000}"/>
    <hyperlink ref="C7" r:id="rId9" xr:uid="{00000000-0004-0000-1700-000008000000}"/>
    <hyperlink ref="D7" r:id="rId10" xr:uid="{00000000-0004-0000-1700-000009000000}"/>
    <hyperlink ref="C8" r:id="rId11" xr:uid="{00000000-0004-0000-1700-00000A000000}"/>
    <hyperlink ref="D8" r:id="rId12" xr:uid="{00000000-0004-0000-1700-00000B000000}"/>
    <hyperlink ref="D9" r:id="rId13" xr:uid="{00000000-0004-0000-1700-00000C000000}"/>
    <hyperlink ref="C10" r:id="rId14" xr:uid="{00000000-0004-0000-1700-00000D000000}"/>
    <hyperlink ref="D10" r:id="rId15" xr:uid="{00000000-0004-0000-1700-00000E000000}"/>
    <hyperlink ref="C11" r:id="rId16" xr:uid="{00000000-0004-0000-1700-00000F000000}"/>
    <hyperlink ref="D11" r:id="rId17" xr:uid="{00000000-0004-0000-1700-000010000000}"/>
    <hyperlink ref="C12" r:id="rId18" xr:uid="{00000000-0004-0000-1700-000011000000}"/>
    <hyperlink ref="D12" r:id="rId19" xr:uid="{00000000-0004-0000-1700-000012000000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</vt:i4>
      </vt:variant>
    </vt:vector>
  </HeadingPairs>
  <TitlesOfParts>
    <vt:vector size="26" baseType="lpstr">
      <vt:lpstr>Song Tracker</vt:lpstr>
      <vt:lpstr>Gig Tracker</vt:lpstr>
      <vt:lpstr>Potential Songs</vt:lpstr>
      <vt:lpstr>Potential Gigs</vt:lpstr>
      <vt:lpstr>Expenses</vt:lpstr>
      <vt:lpstr>2026-06-24 Ridgeville Parks</vt:lpstr>
      <vt:lpstr>2026-06-21 Chicago Union</vt:lpstr>
      <vt:lpstr>2026-05-16 Fat Shallot</vt:lpstr>
      <vt:lpstr>2026-05-14 Fat Shallot</vt:lpstr>
      <vt:lpstr>2026-05-02 Lincolnwood</vt:lpstr>
      <vt:lpstr>2026-04-22 Spring Cha Ching</vt:lpstr>
      <vt:lpstr>2026-01-24 Goat Village</vt:lpstr>
      <vt:lpstr>2025-11-16 Double Clutch</vt:lpstr>
      <vt:lpstr>2025-09-06 Block Party</vt:lpstr>
      <vt:lpstr>2025-06-25 American Legion</vt:lpstr>
      <vt:lpstr>2025-06-07 Fat Shallot</vt:lpstr>
      <vt:lpstr>2025-05-03 Lincolnwood</vt:lpstr>
      <vt:lpstr>2024-10-09 Fat Shallot</vt:lpstr>
      <vt:lpstr>2024-09-07 Block Party</vt:lpstr>
      <vt:lpstr>2024-08-10 Fat Shallot</vt:lpstr>
      <vt:lpstr>2024-07-13 Chicago Union</vt:lpstr>
      <vt:lpstr>2024-06-08 Fat Shallot</vt:lpstr>
      <vt:lpstr>2024-04-27 Lincolnwood</vt:lpstr>
      <vt:lpstr>2023-09-09 Block Party</vt:lpstr>
      <vt:lpstr>'2026-05-14 Fat Shallot'!Print_Area</vt:lpstr>
      <vt:lpstr>'2026-05-16 Fat Shallot'!Print_Area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Miles Shultz</cp:lastModifiedBy>
  <cp:revision/>
  <cp:lastPrinted>2026-05-14T13:20:00Z</cp:lastPrinted>
  <dcterms:created xsi:type="dcterms:W3CDTF">2026-05-10T18:18:30Z</dcterms:created>
  <dcterms:modified xsi:type="dcterms:W3CDTF">2026-05-19T13:42:44Z</dcterms:modified>
  <cp:category/>
  <cp:contentStatus/>
</cp:coreProperties>
</file>