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8_{1EE1660D-C211-404B-BD31-E26E70D40A41}" xr6:coauthVersionLast="47" xr6:coauthVersionMax="47" xr10:uidLastSave="{00000000-0000-0000-0000-000000000000}"/>
  <bookViews>
    <workbookView xWindow="40040" yWindow="1840" windowWidth="34560" windowHeight="19220" firstSheet="1" activeTab="8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9" l="1"/>
  <c r="F20" i="9" s="1"/>
  <c r="F5" i="24"/>
  <c r="F6" i="24"/>
  <c r="F9" i="24"/>
  <c r="F14" i="24"/>
  <c r="F7" i="23"/>
  <c r="F15" i="23" s="1"/>
  <c r="F8" i="23"/>
  <c r="F11" i="22"/>
  <c r="F20" i="22" s="1"/>
  <c r="F11" i="21"/>
  <c r="F15" i="21"/>
  <c r="F10" i="20"/>
  <c r="F11" i="20"/>
  <c r="F14" i="20"/>
  <c r="F15" i="20"/>
  <c r="F17" i="20"/>
  <c r="F25" i="20"/>
  <c r="F10" i="19"/>
  <c r="F11" i="19"/>
  <c r="F12" i="19"/>
  <c r="F16" i="19"/>
  <c r="F17" i="19"/>
  <c r="F18" i="19"/>
  <c r="F19" i="19"/>
  <c r="F22" i="19"/>
  <c r="F28" i="19"/>
  <c r="F30" i="19"/>
  <c r="F7" i="18"/>
  <c r="F15" i="18" s="1"/>
  <c r="F11" i="18"/>
  <c r="F3" i="17"/>
  <c r="F10" i="17"/>
  <c r="F18" i="17"/>
  <c r="F6" i="16"/>
  <c r="F9" i="16"/>
  <c r="F24" i="16" s="1"/>
  <c r="F15" i="16"/>
  <c r="F6" i="15"/>
  <c r="F10" i="15"/>
  <c r="F12" i="15"/>
  <c r="F19" i="15"/>
  <c r="F32" i="15" s="1"/>
  <c r="F25" i="15"/>
  <c r="F27" i="15"/>
  <c r="F7" i="14"/>
  <c r="F12" i="14"/>
  <c r="F14" i="14"/>
  <c r="F18" i="14"/>
  <c r="F7" i="13"/>
  <c r="F17" i="13" s="1"/>
  <c r="F12" i="13"/>
  <c r="F30" i="12"/>
  <c r="F33" i="12"/>
  <c r="F35" i="12" s="1"/>
  <c r="F14" i="11"/>
  <c r="F3" i="10"/>
  <c r="F21" i="10" s="1"/>
  <c r="F21" i="8"/>
  <c r="F31" i="8" s="1"/>
  <c r="F24" i="8"/>
  <c r="F4" i="7"/>
  <c r="F4" i="6"/>
</calcChain>
</file>

<file path=xl/sharedStrings.xml><?xml version="1.0" encoding="utf-8"?>
<sst xmlns="http://schemas.openxmlformats.org/spreadsheetml/2006/main" count="2142" uniqueCount="277">
  <si>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</si>
  <si>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</si>
  <si>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</si>
  <si>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</si>
  <si>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</si>
  <si>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</si>
  <si>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</si>
  <si>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</si>
  <si>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</si>
  <si>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</si>
  <si>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</si>
  <si>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</si>
  <si>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</si>
  <si>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</si>
  <si>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</si>
  <si>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</si>
  <si>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</si>
  <si>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</si>
  <si>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</si>
  <si>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</si>
  <si>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</si>
  <si>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</si>
  <si>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</si>
  <si>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</si>
  <si>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</si>
  <si>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</si>
  <si>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</si>
  <si>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</si>
  <si>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</si>
  <si>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</si>
  <si>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</si>
  <si>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</si>
  <si>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</si>
  <si>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</si>
  <si>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</si>
  <si>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</si>
  <si>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</si>
  <si>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</si>
  <si>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</si>
  <si>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</si>
  <si>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</si>
  <si>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</si>
  <si>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</si>
  <si>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</si>
  <si>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</si>
  <si>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</si>
  <si>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</si>
  <si>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</si>
  <si>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</si>
  <si>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</si>
  <si>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Miles / Matt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</si>
  <si>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</si>
  <si>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</si>
  <si>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</si>
  <si>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</si>
  <si>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</si>
  <si>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</si>
  <si>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</si>
  <si>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</si>
  <si>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</si>
  <si>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</si>
  <si>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</si>
  <si>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</si>
  <si>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</si>
  <si>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</si>
  <si>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</si>
  <si>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</si>
  <si>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</si>
  <si>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</si>
  <si>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</si>
  <si>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</si>
  <si>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</si>
  <si>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</si>
  <si>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</si>
  <si>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</si>
  <si>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</si>
  <si>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</si>
  <si>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</si>
  <si>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</si>
  <si>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</si>
  <si>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</si>
  <si>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</si>
  <si>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</si>
  <si>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</si>
  <si>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</si>
  <si>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</si>
  <si>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</si>
  <si>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</si>
  <si>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</si>
  <si>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</si>
  <si>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</si>
  <si>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</si>
  <si>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</si>
  <si>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</si>
  <si>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</si>
  <si>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</si>
  <si>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</si>
  <si>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</si>
  <si>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</si>
  <si>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</si>
  <si>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</si>
  <si>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</si>
  <si>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</si>
  <si>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</si>
  <si>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</si>
  <si>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</si>
  <si>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</si>
  <si>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</si>
  <si>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</si>
  <si>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</si>
  <si>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</si>
  <si>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</si>
  <si>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</si>
  <si>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</si>
  <si>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</si>
  <si>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</si>
  <si>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</si>
  <si>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</si>
  <si>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</si>
  <si>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</si>
  <si>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</si>
  <si>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</si>
  <si>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</si>
  <si>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</si>
  <si>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</si>
  <si>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</si>
  <si>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</si>
  <si>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</si>
  <si>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</si>
  <si>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</si>
  <si>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</si>
  <si>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</si>
  <si>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</si>
  <si>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</si>
  <si>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</si>
  <si>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</si>
  <si>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</si>
  <si>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</si>
  <si>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</si>
  <si>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</si>
  <si>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</si>
  <si>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</si>
  <si>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</si>
  <si>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</si>
  <si>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</si>
  <si>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</si>
  <si>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</si>
  <si>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</si>
  <si>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</si>
  <si>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</si>
  <si>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</si>
  <si>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</si>
  <si>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</si>
  <si>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</si>
  <si>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</si>
  <si>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</si>
  <si>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</si>
  <si>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</si>
  <si>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</si>
  <si>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</si>
  <si>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</si>
  <si>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</si>
  <si>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</si>
  <si>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</si>
  <si>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</si>
  <si>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</si>
  <si>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</si>
  <si>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</si>
  <si>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</si>
  <si>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</si>
  <si>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</si>
  <si>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</si>
  <si>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</si>
  <si>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</si>
  <si>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</si>
  <si>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</si>
  <si>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</si>
  <si>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</si>
  <si>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</si>
  <si>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</si>
  <si>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</si>
  <si>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</si>
  <si>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</si>
  <si>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</si>
  <si>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</si>
  <si>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</si>
  <si>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</si>
  <si>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</si>
  <si>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</si>
  <si>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</si>
  <si>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</si>
  <si>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</si>
  <si>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</si>
  <si>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</si>
  <si>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</si>
  <si>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</si>
  <si>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2026-06-24</t>
  </si>
  <si>
    <t>Ridgeville Parks</t>
  </si>
  <si>
    <t>Natalie Sallee</t>
  </si>
  <si>
    <t>programs@ridgeville.org</t>
  </si>
  <si>
    <t>2026-06-21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</si>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</sst>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</numFmts>
  <fonts count="2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2"/>
      <color rgb="FF000000"/>
      <name val="Calibri"/>
      <family val="2"/>
    </font>
    <font>
      <b/>
      <sz val="13"/>
      <color rgb="FF000000"/>
      <name val="Calibri"/>
      <family val="2"/>
    </font>
    <font>
      <u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5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11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center" vertical="center"/>
    </xf>
    <xf numFmtId="0" fontId="16" fillId="2" borderId="12" xfId="0" applyFont="1" applyFill="1" applyBorder="1"/>
    <xf numFmtId="0" fontId="20" fillId="2" borderId="12" xfId="0" applyFont="1" applyFill="1" applyBorder="1"/>
    <xf numFmtId="0" fontId="20" fillId="2" borderId="12" xfId="0" applyFont="1" applyFill="1" applyBorder="1" applyAlignment="1">
      <alignment horizontal="center"/>
    </xf>
    <xf numFmtId="0" fontId="21" fillId="2" borderId="16" xfId="0" applyFont="1" applyFill="1" applyBorder="1" applyAlignment="1">
      <alignment horizontal="left" vertical="center"/>
    </xf>
    <xf numFmtId="0" fontId="21" fillId="2" borderId="16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/>
    </xf>
    <xf numFmtId="0" fontId="21" fillId="2" borderId="17" xfId="0" applyFont="1" applyFill="1" applyBorder="1" applyAlignment="1">
      <alignment horizontal="center" vertical="center"/>
    </xf>
    <xf numFmtId="165" fontId="16" fillId="2" borderId="19" xfId="0" applyNumberFormat="1" applyFont="1" applyFill="1" applyBorder="1" applyAlignment="1">
      <alignment horizontal="center" vertical="center"/>
    </xf>
    <xf numFmtId="165" fontId="20" fillId="2" borderId="19" xfId="0" applyNumberFormat="1" applyFont="1" applyFill="1" applyBorder="1" applyAlignment="1">
      <alignment horizontal="center"/>
    </xf>
    <xf numFmtId="46" fontId="21" fillId="2" borderId="20" xfId="0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left" vertical="center"/>
    </xf>
    <xf numFmtId="0" fontId="18" fillId="2" borderId="11" xfId="0" applyFont="1" applyFill="1" applyBorder="1" applyAlignment="1">
      <alignment horizontal="center" vertical="center"/>
    </xf>
    <xf numFmtId="165" fontId="16" fillId="2" borderId="24" xfId="0" applyNumberFormat="1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24" fillId="0" borderId="15" xfId="0" applyFont="1" applyBorder="1"/>
    <xf numFmtId="0" fontId="25" fillId="0" borderId="12" xfId="0" applyFont="1" applyBorder="1" applyAlignment="1">
      <alignment horizontal="left" vertical="center"/>
    </xf>
    <xf numFmtId="0" fontId="25" fillId="0" borderId="12" xfId="0" applyFont="1" applyBorder="1" applyAlignment="1">
      <alignment horizontal="center" vertical="center"/>
    </xf>
    <xf numFmtId="0" fontId="20" fillId="0" borderId="12" xfId="0" applyFont="1" applyBorder="1"/>
    <xf numFmtId="0" fontId="3" fillId="0" borderId="12" xfId="0" applyFont="1" applyBorder="1" applyAlignment="1">
      <alignment horizontal="left" vertical="center"/>
    </xf>
    <xf numFmtId="0" fontId="25" fillId="0" borderId="19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/>
    </xf>
    <xf numFmtId="0" fontId="24" fillId="0" borderId="15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0" fontId="24" fillId="0" borderId="18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0" fontId="26" fillId="0" borderId="17" xfId="0" applyFont="1" applyBorder="1" applyAlignment="1">
      <alignment horizontal="center" vertical="center"/>
    </xf>
    <xf numFmtId="0" fontId="26" fillId="0" borderId="16" xfId="0" applyFont="1" applyBorder="1" applyAlignment="1">
      <alignment horizontal="left" vertical="center"/>
    </xf>
    <xf numFmtId="0" fontId="26" fillId="0" borderId="16" xfId="0" applyFont="1" applyBorder="1" applyAlignment="1">
      <alignment horizontal="center" vertical="center"/>
    </xf>
    <xf numFmtId="46" fontId="26" fillId="0" borderId="2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0" fontId="10" fillId="2" borderId="0" xfId="2" applyFont="1" applyFill="1"/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0" fontId="22" fillId="2" borderId="21" xfId="0" applyFont="1" applyFill="1" applyBorder="1" applyAlignment="1">
      <alignment horizontal="center" vertical="center"/>
    </xf>
    <xf numFmtId="0" fontId="22" fillId="2" borderId="22" xfId="0" applyFont="1" applyFill="1" applyBorder="1" applyAlignment="1">
      <alignment horizontal="center" vertical="center"/>
    </xf>
    <xf numFmtId="0" fontId="22" fillId="2" borderId="23" xfId="0" applyFont="1" applyFill="1" applyBorder="1" applyAlignment="1">
      <alignment horizontal="center" vertical="center"/>
    </xf>
    <xf numFmtId="0" fontId="19" fillId="2" borderId="26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9" xfId="0" applyNumberFormat="1" applyFont="1" applyBorder="1" applyAlignment="1">
      <alignment horizontal="center" vertical="center"/>
    </xf>
    <xf numFmtId="165" fontId="19" fillId="2" borderId="25" xfId="0" applyNumberFormat="1" applyFont="1" applyFill="1" applyBorder="1" applyAlignment="1">
      <alignment horizontal="center" wrapText="1"/>
    </xf>
    <xf numFmtId="165" fontId="20" fillId="0" borderId="19" xfId="0" applyNumberFormat="1" applyFont="1" applyBorder="1" applyAlignment="1">
      <alignment horizontal="center"/>
    </xf>
    <xf numFmtId="0" fontId="23" fillId="0" borderId="27" xfId="0" applyFont="1" applyBorder="1" applyAlignment="1">
      <alignment horizontal="center" vertical="center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1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165" fontId="3" fillId="0" borderId="31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/>
    </xf>
    <xf numFmtId="165" fontId="20" fillId="0" borderId="31" xfId="0" applyNumberFormat="1" applyFont="1" applyBorder="1" applyAlignment="1">
      <alignment horizont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left" vertical="center"/>
    </xf>
    <xf numFmtId="0" fontId="26" fillId="0" borderId="33" xfId="0" applyFont="1" applyBorder="1" applyAlignment="1">
      <alignment horizontal="center" vertical="center"/>
    </xf>
    <xf numFmtId="46" fontId="26" fillId="0" borderId="34" xfId="0" applyNumberFormat="1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9" Type="http://schemas.openxmlformats.org/officeDocument/2006/relationships/hyperlink" Target="https://www.kingsofewing.com/docs/music/follow_your_arrow_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" activePane="bottomRight" state="frozen"/>
      <selection pane="topRight"/>
      <selection pane="bottomLeft"/>
      <selection pane="bottomRight" activeCell="F47" sqref="F47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" customFormat="1" ht="28" customHeight="1" thickTop="1" thickBot="1" x14ac:dyDescent="0.25">
      <c r="A1" s="61" t="s">
        <v>0</v>
      </c>
      <c r="B1" s="62"/>
      <c r="C1" s="63"/>
      <c r="D1" s="63"/>
      <c r="E1" s="63"/>
      <c r="F1" s="63"/>
      <c r="G1" s="63"/>
      <c r="H1" s="63"/>
      <c r="I1" s="63"/>
      <c r="J1" s="64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5"/>
    </row>
    <row r="2" spans="1:27" s="3" customFormat="1" ht="56" customHeight="1" thickTop="1" thickBot="1" x14ac:dyDescent="0.25">
      <c r="A2" s="66" t="s">
        <v>1</v>
      </c>
      <c r="B2" s="66" t="s">
        <v>2</v>
      </c>
      <c r="C2" s="66" t="s">
        <v>3</v>
      </c>
      <c r="D2" s="66" t="s">
        <v>4</v>
      </c>
      <c r="E2" s="66" t="s">
        <v>5</v>
      </c>
      <c r="F2" s="66" t="s">
        <v>6</v>
      </c>
      <c r="G2" s="66" t="s">
        <v>7</v>
      </c>
      <c r="H2" s="66" t="s">
        <v>8</v>
      </c>
      <c r="I2" s="66" t="s">
        <v>9</v>
      </c>
      <c r="J2" s="66" t="s">
        <v>10</v>
      </c>
      <c r="K2" s="66" t="s">
        <v>11</v>
      </c>
      <c r="L2" s="67" t="s">
        <v>12</v>
      </c>
      <c r="M2" s="67" t="s">
        <v>13</v>
      </c>
      <c r="N2" s="67" t="s">
        <v>14</v>
      </c>
      <c r="O2" s="67" t="s">
        <v>15</v>
      </c>
      <c r="P2" s="67" t="s">
        <v>16</v>
      </c>
      <c r="Q2" s="67" t="s">
        <v>17</v>
      </c>
      <c r="R2" s="67" t="s">
        <v>18</v>
      </c>
      <c r="S2" s="67" t="s">
        <v>19</v>
      </c>
      <c r="T2" s="67" t="s">
        <v>20</v>
      </c>
      <c r="U2" s="67" t="s">
        <v>21</v>
      </c>
      <c r="V2" s="67" t="s">
        <v>22</v>
      </c>
      <c r="W2" s="67" t="s">
        <v>23</v>
      </c>
      <c r="X2" s="67" t="s">
        <v>24</v>
      </c>
      <c r="Y2" s="67" t="s">
        <v>25</v>
      </c>
      <c r="Z2" s="67" t="s">
        <v>26</v>
      </c>
      <c r="AA2" s="67" t="s">
        <v>27</v>
      </c>
    </row>
    <row r="3" spans="1:27" ht="22" customHeight="1" thickTop="1" x14ac:dyDescent="0.2">
      <c r="A3" s="13" t="s">
        <v>28</v>
      </c>
      <c r="B3" s="68" t="s">
        <v>2</v>
      </c>
      <c r="C3" s="68" t="s">
        <v>3</v>
      </c>
      <c r="D3" s="13" t="s">
        <v>29</v>
      </c>
      <c r="E3" s="13" t="s">
        <v>30</v>
      </c>
      <c r="F3" s="94">
        <v>2.7662037037037039E-3</v>
      </c>
      <c r="G3" s="13" t="s">
        <v>31</v>
      </c>
      <c r="H3" s="13"/>
      <c r="I3" s="13" t="s">
        <v>32</v>
      </c>
      <c r="J3" s="13" t="s">
        <v>33</v>
      </c>
      <c r="K3" s="13"/>
      <c r="L3" s="12"/>
      <c r="M3" s="13"/>
      <c r="N3" s="13"/>
      <c r="O3" s="13"/>
      <c r="P3" s="13"/>
      <c r="Q3" s="13" t="s">
        <v>32</v>
      </c>
      <c r="R3" s="13" t="s">
        <v>32</v>
      </c>
      <c r="S3" s="13"/>
      <c r="T3" s="13"/>
      <c r="U3" s="13"/>
      <c r="V3" s="13"/>
      <c r="W3" s="13"/>
      <c r="X3" s="13"/>
      <c r="Y3" s="13"/>
      <c r="Z3" s="13"/>
      <c r="AA3" s="13"/>
    </row>
    <row r="4" spans="1:27" ht="22" customHeight="1" x14ac:dyDescent="0.2">
      <c r="A4" s="14" t="s">
        <v>34</v>
      </c>
      <c r="B4" s="15" t="s">
        <v>2</v>
      </c>
      <c r="C4" s="15" t="s">
        <v>3</v>
      </c>
      <c r="D4" s="14" t="s">
        <v>35</v>
      </c>
      <c r="E4" s="13" t="s">
        <v>30</v>
      </c>
      <c r="F4" s="94">
        <v>3.9583333333333337E-3</v>
      </c>
      <c r="G4" s="14" t="s">
        <v>36</v>
      </c>
      <c r="H4" s="14"/>
      <c r="I4" s="14"/>
      <c r="J4" s="14" t="s">
        <v>37</v>
      </c>
      <c r="K4" s="14"/>
      <c r="L4" s="12"/>
      <c r="M4" s="14"/>
      <c r="N4" s="14"/>
      <c r="O4" s="14"/>
      <c r="P4" s="14"/>
      <c r="Q4" s="14"/>
      <c r="R4" s="14" t="s">
        <v>32</v>
      </c>
      <c r="S4" s="14"/>
      <c r="T4" s="14"/>
      <c r="U4" s="14"/>
      <c r="V4" s="14" t="s">
        <v>32</v>
      </c>
      <c r="W4" s="14" t="s">
        <v>32</v>
      </c>
      <c r="X4" s="14"/>
      <c r="Y4" s="14"/>
      <c r="Z4" s="14"/>
      <c r="AA4" s="14"/>
    </row>
    <row r="5" spans="1:27" ht="22" customHeight="1" x14ac:dyDescent="0.2">
      <c r="A5" s="14" t="s">
        <v>256</v>
      </c>
      <c r="B5" s="69" t="s">
        <v>2</v>
      </c>
      <c r="C5" s="70"/>
      <c r="D5" s="14" t="s">
        <v>38</v>
      </c>
      <c r="E5" s="13" t="s">
        <v>30</v>
      </c>
      <c r="F5" s="94">
        <v>2.5810185185185185E-3</v>
      </c>
      <c r="G5" s="14" t="s">
        <v>39</v>
      </c>
      <c r="H5" s="14"/>
      <c r="I5" s="14" t="s">
        <v>32</v>
      </c>
      <c r="J5" s="14" t="s">
        <v>40</v>
      </c>
      <c r="K5" s="14"/>
      <c r="L5" s="16" t="s">
        <v>32</v>
      </c>
      <c r="M5" s="14" t="s">
        <v>32</v>
      </c>
      <c r="N5" s="14"/>
      <c r="O5" s="14" t="s">
        <v>32</v>
      </c>
      <c r="P5" s="14"/>
      <c r="Q5" s="14"/>
      <c r="R5" s="14" t="s">
        <v>32</v>
      </c>
      <c r="S5" s="14"/>
      <c r="T5" s="14" t="s">
        <v>32</v>
      </c>
      <c r="U5" s="14"/>
      <c r="V5" s="14" t="s">
        <v>32</v>
      </c>
      <c r="W5" s="14" t="s">
        <v>32</v>
      </c>
      <c r="X5" s="14"/>
      <c r="Y5" s="14" t="s">
        <v>32</v>
      </c>
      <c r="Z5" s="14"/>
      <c r="AA5" s="14"/>
    </row>
    <row r="6" spans="1:27" ht="22" customHeight="1" x14ac:dyDescent="0.2">
      <c r="A6" s="14" t="s">
        <v>41</v>
      </c>
      <c r="B6" s="15" t="s">
        <v>2</v>
      </c>
      <c r="C6" s="15" t="s">
        <v>3</v>
      </c>
      <c r="D6" s="14" t="s">
        <v>42</v>
      </c>
      <c r="E6" s="13" t="s">
        <v>30</v>
      </c>
      <c r="F6" s="94">
        <v>2.7199074074074074E-3</v>
      </c>
      <c r="G6" s="14" t="s">
        <v>39</v>
      </c>
      <c r="H6" s="14"/>
      <c r="I6" s="14" t="s">
        <v>32</v>
      </c>
      <c r="J6" s="14" t="s">
        <v>43</v>
      </c>
      <c r="K6" s="14"/>
      <c r="L6" s="12"/>
      <c r="M6" s="14"/>
      <c r="N6" s="14"/>
      <c r="O6" s="14" t="s">
        <v>32</v>
      </c>
      <c r="P6" s="14" t="s">
        <v>32</v>
      </c>
      <c r="Q6" s="14"/>
      <c r="R6" s="14" t="s">
        <v>32</v>
      </c>
      <c r="S6" s="14"/>
      <c r="T6" s="14"/>
      <c r="U6" s="14"/>
      <c r="V6" s="14"/>
      <c r="W6" s="14"/>
      <c r="X6" s="14"/>
      <c r="Y6" s="14"/>
      <c r="Z6" s="14"/>
      <c r="AA6" s="14"/>
    </row>
    <row r="7" spans="1:27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94">
        <v>3.414351851851852E-3</v>
      </c>
      <c r="G7" s="14" t="s">
        <v>31</v>
      </c>
      <c r="H7" s="14"/>
      <c r="I7" s="14" t="s">
        <v>32</v>
      </c>
      <c r="J7" s="14" t="s">
        <v>43</v>
      </c>
      <c r="K7" s="14"/>
      <c r="L7" s="16" t="s">
        <v>32</v>
      </c>
      <c r="M7" s="14" t="s">
        <v>32</v>
      </c>
      <c r="N7" s="14" t="s">
        <v>32</v>
      </c>
      <c r="O7" s="14" t="s">
        <v>32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spans="1:27" ht="22" customHeight="1" x14ac:dyDescent="0.2">
      <c r="A8" s="14" t="s">
        <v>46</v>
      </c>
      <c r="B8" s="15" t="s">
        <v>2</v>
      </c>
      <c r="C8" s="15" t="s">
        <v>3</v>
      </c>
      <c r="D8" s="14" t="s">
        <v>47</v>
      </c>
      <c r="E8" s="13" t="s">
        <v>30</v>
      </c>
      <c r="F8" s="94">
        <v>1.7476851851851852E-3</v>
      </c>
      <c r="G8" s="14" t="s">
        <v>48</v>
      </c>
      <c r="H8" s="13" t="s">
        <v>32</v>
      </c>
      <c r="I8" s="14" t="s">
        <v>32</v>
      </c>
      <c r="J8" s="14" t="s">
        <v>43</v>
      </c>
      <c r="K8" s="14"/>
      <c r="L8" s="12"/>
      <c r="M8" s="14"/>
      <c r="N8" s="14"/>
      <c r="O8" s="14" t="s">
        <v>32</v>
      </c>
      <c r="P8" s="14"/>
      <c r="Q8" s="14"/>
      <c r="R8" s="14" t="s">
        <v>32</v>
      </c>
      <c r="S8" s="14" t="s">
        <v>32</v>
      </c>
      <c r="T8" s="14" t="s">
        <v>32</v>
      </c>
      <c r="U8" s="14" t="s">
        <v>32</v>
      </c>
      <c r="V8" s="14" t="s">
        <v>32</v>
      </c>
      <c r="W8" s="14" t="s">
        <v>32</v>
      </c>
      <c r="X8" s="14"/>
      <c r="Y8" s="14" t="s">
        <v>32</v>
      </c>
      <c r="Z8" s="14"/>
      <c r="AA8" s="14" t="s">
        <v>32</v>
      </c>
    </row>
    <row r="9" spans="1:27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94">
        <v>2.1875000000000002E-3</v>
      </c>
      <c r="G9" s="14" t="s">
        <v>50</v>
      </c>
      <c r="H9" s="14"/>
      <c r="I9" s="14" t="s">
        <v>32</v>
      </c>
      <c r="J9" s="14" t="s">
        <v>43</v>
      </c>
      <c r="K9" s="14"/>
      <c r="L9" s="16" t="s">
        <v>32</v>
      </c>
      <c r="M9" s="14" t="s">
        <v>32</v>
      </c>
      <c r="N9" s="14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</row>
    <row r="10" spans="1:27" ht="22" customHeight="1" x14ac:dyDescent="0.2">
      <c r="A10" s="14" t="s">
        <v>51</v>
      </c>
      <c r="B10" s="15" t="s">
        <v>2</v>
      </c>
      <c r="C10" s="15" t="s">
        <v>3</v>
      </c>
      <c r="D10" s="14" t="s">
        <v>52</v>
      </c>
      <c r="E10" s="13" t="s">
        <v>30</v>
      </c>
      <c r="F10" s="94">
        <v>3.3449074074074076E-3</v>
      </c>
      <c r="G10" s="14" t="s">
        <v>48</v>
      </c>
      <c r="H10" s="13" t="s">
        <v>32</v>
      </c>
      <c r="I10" s="14"/>
      <c r="J10" s="14" t="s">
        <v>37</v>
      </c>
      <c r="K10" s="14"/>
      <c r="L10" s="12"/>
      <c r="M10" s="14"/>
      <c r="N10" s="14"/>
      <c r="O10" s="14"/>
      <c r="P10" s="14"/>
      <c r="Q10" s="14"/>
      <c r="R10" s="14"/>
      <c r="S10" s="14"/>
      <c r="T10" s="14"/>
      <c r="U10" s="14"/>
      <c r="V10" s="14" t="s">
        <v>32</v>
      </c>
      <c r="W10" s="14"/>
      <c r="X10" s="14"/>
      <c r="Y10" s="14"/>
      <c r="Z10" s="14"/>
      <c r="AA10" s="14"/>
    </row>
    <row r="11" spans="1:27" ht="22" customHeight="1" x14ac:dyDescent="0.2">
      <c r="A11" s="14" t="s">
        <v>53</v>
      </c>
      <c r="B11" s="15" t="s">
        <v>2</v>
      </c>
      <c r="C11" s="15" t="s">
        <v>3</v>
      </c>
      <c r="D11" s="14" t="s">
        <v>54</v>
      </c>
      <c r="E11" s="13" t="s">
        <v>30</v>
      </c>
      <c r="F11" s="94">
        <v>5.5555555555555558E-3</v>
      </c>
      <c r="G11" s="14" t="s">
        <v>31</v>
      </c>
      <c r="H11" s="14"/>
      <c r="I11" s="14"/>
      <c r="J11" s="14" t="s">
        <v>33</v>
      </c>
      <c r="K11" s="14"/>
      <c r="L11" s="12"/>
      <c r="M11" s="14"/>
      <c r="N11" s="14"/>
      <c r="O11" s="14"/>
      <c r="P11" s="14"/>
      <c r="Q11" s="14"/>
      <c r="R11" s="14" t="s">
        <v>32</v>
      </c>
      <c r="S11" s="14" t="s">
        <v>32</v>
      </c>
      <c r="T11" s="14"/>
      <c r="U11" s="14" t="s">
        <v>32</v>
      </c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</row>
    <row r="12" spans="1:27" ht="22" customHeight="1" x14ac:dyDescent="0.2">
      <c r="A12" s="14" t="s">
        <v>55</v>
      </c>
      <c r="B12" s="15" t="s">
        <v>2</v>
      </c>
      <c r="C12" s="15" t="s">
        <v>3</v>
      </c>
      <c r="D12" s="14" t="s">
        <v>56</v>
      </c>
      <c r="E12" s="13" t="s">
        <v>30</v>
      </c>
      <c r="F12" s="94">
        <v>2.7430555555555554E-3</v>
      </c>
      <c r="G12" s="14" t="s">
        <v>39</v>
      </c>
      <c r="H12" s="14"/>
      <c r="I12" s="14" t="s">
        <v>32</v>
      </c>
      <c r="J12" s="14" t="s">
        <v>57</v>
      </c>
      <c r="K12" s="14"/>
      <c r="L12" s="16" t="s">
        <v>32</v>
      </c>
      <c r="M12" s="14" t="s">
        <v>32</v>
      </c>
      <c r="N12" s="14" t="s">
        <v>32</v>
      </c>
      <c r="O12" s="14" t="s">
        <v>32</v>
      </c>
      <c r="P12" s="14" t="s">
        <v>32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spans="1:27" ht="22" customHeight="1" x14ac:dyDescent="0.2">
      <c r="A13" s="14" t="s">
        <v>58</v>
      </c>
      <c r="B13" s="15" t="s">
        <v>2</v>
      </c>
      <c r="C13" s="15" t="s">
        <v>3</v>
      </c>
      <c r="D13" s="14" t="s">
        <v>59</v>
      </c>
      <c r="E13" s="13" t="s">
        <v>60</v>
      </c>
      <c r="F13" s="94">
        <v>2.3032407407407407E-3</v>
      </c>
      <c r="G13" s="14" t="s">
        <v>61</v>
      </c>
      <c r="H13" s="14"/>
      <c r="I13" s="14" t="s">
        <v>32</v>
      </c>
      <c r="J13" s="14" t="s">
        <v>62</v>
      </c>
      <c r="K13" s="14"/>
      <c r="L13" s="12"/>
      <c r="M13" s="14"/>
      <c r="N13" s="14"/>
      <c r="O13" s="14"/>
      <c r="P13" s="14"/>
      <c r="Q13" s="14"/>
      <c r="R13" s="14" t="s">
        <v>32</v>
      </c>
      <c r="S13" s="14" t="s">
        <v>32</v>
      </c>
      <c r="T13" s="14"/>
      <c r="U13" s="14"/>
      <c r="V13" s="14"/>
      <c r="W13" s="14"/>
      <c r="X13" s="14"/>
      <c r="Y13" s="14"/>
      <c r="Z13" s="14"/>
      <c r="AA13" s="14"/>
    </row>
    <row r="14" spans="1:27" ht="22" customHeight="1" x14ac:dyDescent="0.2">
      <c r="A14" s="14" t="s">
        <v>63</v>
      </c>
      <c r="B14" s="68" t="s">
        <v>2</v>
      </c>
      <c r="C14" s="15" t="s">
        <v>3</v>
      </c>
      <c r="D14" s="14" t="s">
        <v>64</v>
      </c>
      <c r="E14" s="13" t="s">
        <v>30</v>
      </c>
      <c r="F14" s="94">
        <v>1.7708333333333332E-3</v>
      </c>
      <c r="G14" s="14" t="s">
        <v>31</v>
      </c>
      <c r="H14" s="14"/>
      <c r="I14" s="14"/>
      <c r="J14" s="14" t="s">
        <v>43</v>
      </c>
      <c r="K14" s="14"/>
      <c r="L14" s="12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 t="s">
        <v>32</v>
      </c>
    </row>
    <row r="15" spans="1:27" ht="22" customHeight="1" x14ac:dyDescent="0.2">
      <c r="A15" s="14" t="s">
        <v>65</v>
      </c>
      <c r="B15" s="15" t="s">
        <v>2</v>
      </c>
      <c r="C15" s="15" t="s">
        <v>3</v>
      </c>
      <c r="D15" s="14" t="s">
        <v>66</v>
      </c>
      <c r="E15" s="13" t="s">
        <v>30</v>
      </c>
      <c r="F15" s="94">
        <v>2.7893518518518519E-3</v>
      </c>
      <c r="G15" s="14" t="s">
        <v>31</v>
      </c>
      <c r="H15" s="14"/>
      <c r="I15" s="14" t="s">
        <v>32</v>
      </c>
      <c r="J15" s="14" t="s">
        <v>43</v>
      </c>
      <c r="K15" s="14"/>
      <c r="L15" s="16" t="s">
        <v>32</v>
      </c>
      <c r="M15" s="14" t="s">
        <v>32</v>
      </c>
      <c r="N15" s="14"/>
      <c r="O15" s="14" t="s">
        <v>32</v>
      </c>
      <c r="P15" s="14"/>
      <c r="Q15" s="14" t="s">
        <v>32</v>
      </c>
      <c r="R15" s="14" t="s">
        <v>32</v>
      </c>
      <c r="S15" s="14" t="s">
        <v>32</v>
      </c>
      <c r="T15" s="14" t="s">
        <v>32</v>
      </c>
      <c r="U15" s="14"/>
      <c r="V15" s="14" t="s">
        <v>32</v>
      </c>
      <c r="W15" s="14" t="s">
        <v>32</v>
      </c>
      <c r="X15" s="14" t="s">
        <v>32</v>
      </c>
      <c r="Y15" s="14" t="s">
        <v>32</v>
      </c>
      <c r="Z15" s="14" t="s">
        <v>32</v>
      </c>
      <c r="AA15" s="14"/>
    </row>
    <row r="16" spans="1:27" ht="22" customHeight="1" x14ac:dyDescent="0.2">
      <c r="A16" s="14" t="s">
        <v>67</v>
      </c>
      <c r="B16" s="15" t="s">
        <v>2</v>
      </c>
      <c r="C16" s="15" t="s">
        <v>3</v>
      </c>
      <c r="D16" s="14" t="s">
        <v>68</v>
      </c>
      <c r="E16" s="13" t="s">
        <v>30</v>
      </c>
      <c r="F16" s="94">
        <v>2.488425925925926E-3</v>
      </c>
      <c r="G16" s="14" t="s">
        <v>36</v>
      </c>
      <c r="H16" s="14"/>
      <c r="I16" s="14" t="s">
        <v>32</v>
      </c>
      <c r="J16" s="14" t="s">
        <v>37</v>
      </c>
      <c r="K16" s="14"/>
      <c r="L16" s="12"/>
      <c r="M16" s="14"/>
      <c r="N16" s="14"/>
      <c r="O16" s="14" t="s">
        <v>32</v>
      </c>
      <c r="P16" s="14"/>
      <c r="Q16" s="14"/>
      <c r="R16" s="14" t="s">
        <v>32</v>
      </c>
      <c r="S16" s="14"/>
      <c r="T16" s="14"/>
      <c r="U16" s="14"/>
      <c r="V16" s="14" t="s">
        <v>32</v>
      </c>
      <c r="W16" s="14" t="s">
        <v>32</v>
      </c>
      <c r="X16" s="14" t="s">
        <v>32</v>
      </c>
      <c r="Y16" s="14" t="s">
        <v>32</v>
      </c>
      <c r="Z16" s="14"/>
      <c r="AA16" s="14" t="s">
        <v>32</v>
      </c>
    </row>
    <row r="17" spans="1:27" ht="22" customHeight="1" x14ac:dyDescent="0.2">
      <c r="A17" s="14" t="s">
        <v>69</v>
      </c>
      <c r="B17" s="15" t="s">
        <v>2</v>
      </c>
      <c r="C17" s="15" t="s">
        <v>3</v>
      </c>
      <c r="D17" s="14" t="s">
        <v>70</v>
      </c>
      <c r="E17" s="13" t="s">
        <v>60</v>
      </c>
      <c r="F17" s="94">
        <v>1.9328703703703704E-3</v>
      </c>
      <c r="G17" s="14" t="s">
        <v>39</v>
      </c>
      <c r="H17" s="14"/>
      <c r="I17" s="14" t="s">
        <v>32</v>
      </c>
      <c r="J17" s="14" t="s">
        <v>71</v>
      </c>
      <c r="K17" s="14"/>
      <c r="L17" s="12"/>
      <c r="M17" s="14"/>
      <c r="N17" s="14"/>
      <c r="O17" s="14" t="s">
        <v>32</v>
      </c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22" customHeight="1" x14ac:dyDescent="0.2">
      <c r="A18" s="14" t="s">
        <v>72</v>
      </c>
      <c r="B18" s="15" t="s">
        <v>2</v>
      </c>
      <c r="C18" s="15" t="s">
        <v>3</v>
      </c>
      <c r="D18" s="14" t="s">
        <v>73</v>
      </c>
      <c r="E18" s="13" t="s">
        <v>30</v>
      </c>
      <c r="F18" s="94">
        <v>2.4305555555555556E-3</v>
      </c>
      <c r="G18" s="14" t="s">
        <v>31</v>
      </c>
      <c r="H18" s="14"/>
      <c r="I18" s="14" t="s">
        <v>32</v>
      </c>
      <c r="J18" s="14" t="s">
        <v>71</v>
      </c>
      <c r="K18" s="14"/>
      <c r="L18" s="16" t="s">
        <v>32</v>
      </c>
      <c r="M18" s="14" t="s">
        <v>32</v>
      </c>
      <c r="N18" s="14"/>
      <c r="O18" s="14" t="s">
        <v>32</v>
      </c>
      <c r="P18" s="14" t="s">
        <v>32</v>
      </c>
      <c r="Q18" s="14" t="s">
        <v>32</v>
      </c>
      <c r="R18" s="14" t="s">
        <v>32</v>
      </c>
      <c r="S18" s="14" t="s">
        <v>32</v>
      </c>
      <c r="T18" s="14"/>
      <c r="U18" s="14"/>
      <c r="V18" s="14"/>
      <c r="W18" s="14"/>
      <c r="X18" s="14"/>
      <c r="Y18" s="14"/>
      <c r="Z18" s="14"/>
      <c r="AA18" s="14"/>
    </row>
    <row r="19" spans="1:27" ht="22" customHeight="1" x14ac:dyDescent="0.2">
      <c r="A19" s="14" t="s">
        <v>74</v>
      </c>
      <c r="B19" s="15" t="s">
        <v>2</v>
      </c>
      <c r="C19" s="15" t="s">
        <v>3</v>
      </c>
      <c r="D19" s="14" t="s">
        <v>75</v>
      </c>
      <c r="E19" s="13" t="s">
        <v>30</v>
      </c>
      <c r="F19" s="94">
        <v>2.6041666666666665E-3</v>
      </c>
      <c r="G19" s="14" t="s">
        <v>36</v>
      </c>
      <c r="H19" s="14"/>
      <c r="I19" s="14" t="s">
        <v>32</v>
      </c>
      <c r="J19" s="14" t="s">
        <v>57</v>
      </c>
      <c r="K19" s="14"/>
      <c r="L19" s="16" t="s">
        <v>32</v>
      </c>
      <c r="M19" s="14" t="s">
        <v>32</v>
      </c>
      <c r="N19" s="14" t="s">
        <v>32</v>
      </c>
      <c r="O19" s="14" t="s">
        <v>32</v>
      </c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2" customHeight="1" x14ac:dyDescent="0.2">
      <c r="A20" s="14" t="s">
        <v>76</v>
      </c>
      <c r="B20" s="15" t="s">
        <v>2</v>
      </c>
      <c r="C20" s="15" t="s">
        <v>3</v>
      </c>
      <c r="D20" s="14" t="s">
        <v>77</v>
      </c>
      <c r="E20" s="13" t="s">
        <v>30</v>
      </c>
      <c r="F20" s="94">
        <v>4.6874999999999998E-3</v>
      </c>
      <c r="G20" s="14" t="s">
        <v>39</v>
      </c>
      <c r="H20" s="14"/>
      <c r="I20" s="14" t="s">
        <v>32</v>
      </c>
      <c r="J20" s="14" t="s">
        <v>33</v>
      </c>
      <c r="K20" s="14"/>
      <c r="L20" s="12"/>
      <c r="M20" s="14"/>
      <c r="N20" s="14"/>
      <c r="O20" s="14" t="s">
        <v>32</v>
      </c>
      <c r="P20" s="14"/>
      <c r="Q20" s="14"/>
      <c r="R20" s="14" t="s">
        <v>32</v>
      </c>
      <c r="S20" s="14" t="s">
        <v>32</v>
      </c>
      <c r="T20" s="14"/>
      <c r="U20" s="14"/>
      <c r="V20" s="14" t="s">
        <v>32</v>
      </c>
      <c r="W20" s="14" t="s">
        <v>32</v>
      </c>
      <c r="X20" s="14" t="s">
        <v>32</v>
      </c>
      <c r="Y20" s="14"/>
      <c r="Z20" s="14" t="s">
        <v>32</v>
      </c>
      <c r="AA20" s="14" t="s">
        <v>32</v>
      </c>
    </row>
    <row r="21" spans="1:27" ht="22" customHeight="1" x14ac:dyDescent="0.2">
      <c r="A21" s="14" t="s">
        <v>78</v>
      </c>
      <c r="B21" s="15" t="s">
        <v>2</v>
      </c>
      <c r="C21" s="15" t="s">
        <v>3</v>
      </c>
      <c r="D21" s="14" t="s">
        <v>79</v>
      </c>
      <c r="E21" s="13" t="s">
        <v>30</v>
      </c>
      <c r="F21" s="94">
        <v>2.5115740740740741E-3</v>
      </c>
      <c r="G21" s="14" t="s">
        <v>50</v>
      </c>
      <c r="H21" s="14"/>
      <c r="I21" s="14"/>
      <c r="J21" s="14" t="s">
        <v>43</v>
      </c>
      <c r="K21" s="14"/>
      <c r="L21" s="12"/>
      <c r="M21" s="14"/>
      <c r="N21" s="14"/>
      <c r="O21" s="14"/>
      <c r="P21" s="14"/>
      <c r="Q21" s="14"/>
      <c r="R21" s="14"/>
      <c r="S21" s="14"/>
      <c r="T21" s="14"/>
      <c r="U21" s="14"/>
      <c r="V21" s="14" t="s">
        <v>32</v>
      </c>
      <c r="W21" s="14"/>
      <c r="X21" s="14"/>
      <c r="Y21" s="14"/>
      <c r="Z21" s="14"/>
      <c r="AA21" s="14"/>
    </row>
    <row r="22" spans="1:27" ht="22" customHeight="1" x14ac:dyDescent="0.2">
      <c r="A22" s="14" t="s">
        <v>80</v>
      </c>
      <c r="B22" s="15" t="s">
        <v>2</v>
      </c>
      <c r="C22" s="15" t="s">
        <v>3</v>
      </c>
      <c r="D22" s="14" t="s">
        <v>81</v>
      </c>
      <c r="E22" s="13" t="s">
        <v>30</v>
      </c>
      <c r="F22" s="94">
        <v>2.5810185185185185E-3</v>
      </c>
      <c r="G22" s="14" t="s">
        <v>39</v>
      </c>
      <c r="H22" s="14"/>
      <c r="I22" s="14" t="s">
        <v>32</v>
      </c>
      <c r="J22" s="14" t="s">
        <v>57</v>
      </c>
      <c r="K22" s="14"/>
      <c r="L22" s="16" t="s">
        <v>32</v>
      </c>
      <c r="M22" s="14" t="s">
        <v>32</v>
      </c>
      <c r="N22" s="14" t="s">
        <v>32</v>
      </c>
      <c r="O22" s="14" t="s">
        <v>32</v>
      </c>
      <c r="P22" s="14"/>
      <c r="Q22" s="14" t="s">
        <v>32</v>
      </c>
      <c r="R22" s="14" t="s">
        <v>32</v>
      </c>
      <c r="S22" s="14" t="s">
        <v>32</v>
      </c>
      <c r="T22" s="14" t="s">
        <v>32</v>
      </c>
      <c r="U22" s="14" t="s">
        <v>32</v>
      </c>
      <c r="V22" s="14" t="s">
        <v>32</v>
      </c>
      <c r="W22" s="14" t="s">
        <v>32</v>
      </c>
      <c r="X22" s="14" t="s">
        <v>32</v>
      </c>
      <c r="Y22" s="14" t="s">
        <v>32</v>
      </c>
      <c r="Z22" s="14" t="s">
        <v>32</v>
      </c>
      <c r="AA22" s="14" t="s">
        <v>32</v>
      </c>
    </row>
    <row r="23" spans="1:27" ht="22" customHeight="1" x14ac:dyDescent="0.2">
      <c r="A23" s="14" t="s">
        <v>82</v>
      </c>
      <c r="B23" s="68" t="s">
        <v>2</v>
      </c>
      <c r="C23" s="15" t="s">
        <v>3</v>
      </c>
      <c r="D23" s="14" t="s">
        <v>83</v>
      </c>
      <c r="E23" s="13" t="s">
        <v>30</v>
      </c>
      <c r="F23" s="94">
        <v>2.6041666666666665E-3</v>
      </c>
      <c r="G23" s="14" t="s">
        <v>39</v>
      </c>
      <c r="H23" s="14"/>
      <c r="I23" s="14" t="s">
        <v>32</v>
      </c>
      <c r="J23" s="14" t="s">
        <v>33</v>
      </c>
      <c r="K23" s="14"/>
      <c r="L23" s="12"/>
      <c r="M23" s="14"/>
      <c r="N23" s="14"/>
      <c r="O23" s="14" t="s">
        <v>32</v>
      </c>
      <c r="P23" s="14"/>
      <c r="Q23" s="14" t="s">
        <v>32</v>
      </c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/>
      <c r="Y23" s="14"/>
      <c r="Z23" s="14"/>
      <c r="AA23" s="14"/>
    </row>
    <row r="24" spans="1:27" ht="22" customHeight="1" x14ac:dyDescent="0.2">
      <c r="A24" s="14" t="s">
        <v>84</v>
      </c>
      <c r="B24" s="15" t="s">
        <v>2</v>
      </c>
      <c r="C24" s="71"/>
      <c r="D24" s="14" t="s">
        <v>85</v>
      </c>
      <c r="E24" s="13" t="s">
        <v>30</v>
      </c>
      <c r="F24" s="94">
        <v>3.8541666666666668E-3</v>
      </c>
      <c r="G24" s="14" t="s">
        <v>36</v>
      </c>
      <c r="H24" s="14"/>
      <c r="I24" s="14" t="s">
        <v>32</v>
      </c>
      <c r="J24" s="14" t="s">
        <v>86</v>
      </c>
      <c r="K24" s="14"/>
      <c r="L24" s="14" t="s">
        <v>32</v>
      </c>
      <c r="M24" s="14"/>
      <c r="N24" s="14"/>
      <c r="O24" s="14" t="s">
        <v>32</v>
      </c>
      <c r="P24" s="14"/>
      <c r="Q24" s="14"/>
      <c r="R24" s="14" t="s">
        <v>32</v>
      </c>
      <c r="S24" s="14" t="s">
        <v>32</v>
      </c>
      <c r="T24" s="14"/>
      <c r="U24" s="14" t="s">
        <v>32</v>
      </c>
      <c r="V24" s="14" t="s">
        <v>32</v>
      </c>
      <c r="W24" s="14" t="s">
        <v>32</v>
      </c>
      <c r="X24" s="14"/>
      <c r="Y24" s="14" t="s">
        <v>32</v>
      </c>
      <c r="Z24" s="14"/>
      <c r="AA24" s="14"/>
    </row>
    <row r="25" spans="1:27" ht="22" customHeight="1" x14ac:dyDescent="0.2">
      <c r="A25" s="14" t="s">
        <v>87</v>
      </c>
      <c r="B25" s="15" t="s">
        <v>2</v>
      </c>
      <c r="C25" s="15" t="s">
        <v>3</v>
      </c>
      <c r="D25" s="14" t="s">
        <v>88</v>
      </c>
      <c r="E25" s="13" t="s">
        <v>30</v>
      </c>
      <c r="F25" s="94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4"/>
      <c r="L25" s="12"/>
      <c r="M25" s="12"/>
      <c r="N25" s="14" t="s">
        <v>32</v>
      </c>
      <c r="O25" s="14" t="s">
        <v>32</v>
      </c>
      <c r="P25" s="14"/>
      <c r="Q25" s="14"/>
      <c r="R25" s="14" t="s">
        <v>32</v>
      </c>
      <c r="S25" s="14" t="s">
        <v>32</v>
      </c>
      <c r="T25" s="14"/>
      <c r="U25" s="14" t="s">
        <v>32</v>
      </c>
      <c r="V25" s="14" t="s">
        <v>32</v>
      </c>
      <c r="W25" s="14" t="s">
        <v>32</v>
      </c>
      <c r="X25" s="14" t="s">
        <v>32</v>
      </c>
      <c r="Y25" s="14" t="s">
        <v>32</v>
      </c>
      <c r="Z25" s="14"/>
      <c r="AA25" s="14"/>
    </row>
    <row r="26" spans="1:27" ht="22" customHeight="1" x14ac:dyDescent="0.2">
      <c r="A26" s="14" t="s">
        <v>89</v>
      </c>
      <c r="B26" s="15" t="s">
        <v>2</v>
      </c>
      <c r="C26" s="15" t="s">
        <v>3</v>
      </c>
      <c r="D26" s="14" t="s">
        <v>90</v>
      </c>
      <c r="E26" s="13" t="s">
        <v>30</v>
      </c>
      <c r="F26" s="94">
        <v>2.650462962962963E-3</v>
      </c>
      <c r="G26" s="14" t="s">
        <v>31</v>
      </c>
      <c r="H26" s="14"/>
      <c r="I26" s="14" t="s">
        <v>32</v>
      </c>
      <c r="J26" s="14" t="s">
        <v>33</v>
      </c>
      <c r="K26" s="14" t="s">
        <v>32</v>
      </c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22" customHeight="1" x14ac:dyDescent="0.2">
      <c r="A27" s="14" t="s">
        <v>91</v>
      </c>
      <c r="B27" s="15" t="s">
        <v>2</v>
      </c>
      <c r="C27" s="15" t="s">
        <v>3</v>
      </c>
      <c r="D27" s="14" t="s">
        <v>52</v>
      </c>
      <c r="E27" s="13" t="s">
        <v>30</v>
      </c>
      <c r="F27" s="94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4"/>
      <c r="L27" s="16"/>
      <c r="M27" s="14"/>
      <c r="N27" s="14"/>
      <c r="O27" s="14" t="s">
        <v>32</v>
      </c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spans="1:27" ht="22" customHeight="1" x14ac:dyDescent="0.2">
      <c r="A28" s="14" t="s">
        <v>92</v>
      </c>
      <c r="B28" s="15" t="s">
        <v>2</v>
      </c>
      <c r="C28" s="15" t="s">
        <v>3</v>
      </c>
      <c r="D28" s="14" t="s">
        <v>93</v>
      </c>
      <c r="E28" s="13" t="s">
        <v>30</v>
      </c>
      <c r="F28" s="94">
        <v>2.8587962962962963E-3</v>
      </c>
      <c r="G28" s="14" t="s">
        <v>36</v>
      </c>
      <c r="H28" s="14"/>
      <c r="I28" s="14" t="s">
        <v>32</v>
      </c>
      <c r="J28" s="14" t="s">
        <v>57</v>
      </c>
      <c r="K28" s="14"/>
      <c r="L28" s="16" t="s">
        <v>32</v>
      </c>
      <c r="M28" s="14" t="s">
        <v>32</v>
      </c>
      <c r="N28" s="14"/>
      <c r="O28" s="14" t="s">
        <v>32</v>
      </c>
      <c r="P28" s="14" t="s">
        <v>32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spans="1:27" ht="22" customHeight="1" x14ac:dyDescent="0.2">
      <c r="A29" s="14" t="s">
        <v>94</v>
      </c>
      <c r="B29" s="15" t="s">
        <v>2</v>
      </c>
      <c r="C29" s="15" t="s">
        <v>3</v>
      </c>
      <c r="D29" s="14" t="s">
        <v>95</v>
      </c>
      <c r="E29" s="13" t="s">
        <v>30</v>
      </c>
      <c r="F29" s="94">
        <v>2.0486111111111113E-3</v>
      </c>
      <c r="G29" s="14" t="s">
        <v>36</v>
      </c>
      <c r="H29" s="14"/>
      <c r="I29" s="14" t="s">
        <v>32</v>
      </c>
      <c r="J29" s="14" t="s">
        <v>33</v>
      </c>
      <c r="K29" s="14"/>
      <c r="L29" s="12"/>
      <c r="M29" s="14"/>
      <c r="N29" s="14"/>
      <c r="O29" s="14" t="s">
        <v>32</v>
      </c>
      <c r="P29" s="14" t="s">
        <v>32</v>
      </c>
      <c r="Q29" s="14"/>
      <c r="R29" s="14" t="s">
        <v>32</v>
      </c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/>
    </row>
    <row r="30" spans="1:27" ht="22" customHeight="1" x14ac:dyDescent="0.2">
      <c r="A30" s="14" t="s">
        <v>96</v>
      </c>
      <c r="B30" s="15" t="s">
        <v>2</v>
      </c>
      <c r="C30" s="15" t="s">
        <v>3</v>
      </c>
      <c r="D30" s="14" t="s">
        <v>97</v>
      </c>
      <c r="E30" s="13" t="s">
        <v>30</v>
      </c>
      <c r="F30" s="94">
        <v>3.5995370370370369E-3</v>
      </c>
      <c r="G30" s="14" t="s">
        <v>39</v>
      </c>
      <c r="H30" s="14"/>
      <c r="I30" s="14" t="s">
        <v>32</v>
      </c>
      <c r="J30" s="14" t="s">
        <v>33</v>
      </c>
      <c r="K30" s="14"/>
      <c r="L30" s="16" t="s">
        <v>32</v>
      </c>
      <c r="M30" s="14" t="s">
        <v>32</v>
      </c>
      <c r="N30" s="14" t="s">
        <v>32</v>
      </c>
      <c r="O30" s="14" t="s">
        <v>32</v>
      </c>
      <c r="P30" s="14" t="s">
        <v>32</v>
      </c>
      <c r="Q30" s="14" t="s">
        <v>32</v>
      </c>
      <c r="R30" s="14" t="s">
        <v>32</v>
      </c>
      <c r="S30" s="14" t="s">
        <v>32</v>
      </c>
      <c r="T30" s="14" t="s">
        <v>32</v>
      </c>
      <c r="U30" s="14" t="s">
        <v>32</v>
      </c>
      <c r="V30" s="14" t="s">
        <v>32</v>
      </c>
      <c r="W30" s="14" t="s">
        <v>32</v>
      </c>
      <c r="X30" s="14" t="s">
        <v>32</v>
      </c>
      <c r="Y30" s="14" t="s">
        <v>32</v>
      </c>
      <c r="Z30" s="14"/>
      <c r="AA30" s="14"/>
    </row>
    <row r="31" spans="1:27" ht="22" customHeight="1" x14ac:dyDescent="0.2">
      <c r="A31" s="14" t="s">
        <v>98</v>
      </c>
      <c r="B31" s="15" t="s">
        <v>2</v>
      </c>
      <c r="C31" s="15" t="s">
        <v>3</v>
      </c>
      <c r="D31" s="14" t="s">
        <v>42</v>
      </c>
      <c r="E31" s="13" t="s">
        <v>30</v>
      </c>
      <c r="F31" s="94">
        <v>1.9675925925925924E-3</v>
      </c>
      <c r="G31" s="14" t="s">
        <v>48</v>
      </c>
      <c r="H31" s="13" t="s">
        <v>32</v>
      </c>
      <c r="I31" s="14"/>
      <c r="J31" s="14" t="s">
        <v>43</v>
      </c>
      <c r="K31" s="14"/>
      <c r="L31" s="12"/>
      <c r="M31" s="14"/>
      <c r="N31" s="14"/>
      <c r="O31" s="14"/>
      <c r="P31" s="14"/>
      <c r="Q31" s="14"/>
      <c r="R31" s="14"/>
      <c r="S31" s="14"/>
      <c r="T31" s="14"/>
      <c r="U31" s="14"/>
      <c r="V31" s="14" t="s">
        <v>32</v>
      </c>
      <c r="W31" s="14"/>
      <c r="X31" s="14"/>
      <c r="Y31" s="14"/>
      <c r="Z31" s="14"/>
      <c r="AA31" s="14" t="s">
        <v>32</v>
      </c>
    </row>
    <row r="32" spans="1:27" ht="22" customHeight="1" x14ac:dyDescent="0.2">
      <c r="A32" s="14" t="s">
        <v>99</v>
      </c>
      <c r="B32" s="15" t="s">
        <v>2</v>
      </c>
      <c r="C32" s="15" t="s">
        <v>3</v>
      </c>
      <c r="D32" s="14" t="s">
        <v>100</v>
      </c>
      <c r="E32" s="13" t="s">
        <v>30</v>
      </c>
      <c r="F32" s="94">
        <v>3.2291666666666666E-3</v>
      </c>
      <c r="G32" s="14" t="s">
        <v>50</v>
      </c>
      <c r="H32" s="14"/>
      <c r="I32" s="14" t="s">
        <v>32</v>
      </c>
      <c r="J32" s="14" t="s">
        <v>33</v>
      </c>
      <c r="K32" s="14"/>
      <c r="L32" s="12"/>
      <c r="M32" s="14"/>
      <c r="N32" s="14"/>
      <c r="O32" s="14" t="s">
        <v>32</v>
      </c>
      <c r="P32" s="14"/>
      <c r="Q32" s="14"/>
      <c r="R32" s="14" t="s">
        <v>32</v>
      </c>
      <c r="S32" s="14"/>
      <c r="T32" s="14"/>
      <c r="U32" s="14"/>
      <c r="V32" s="14" t="s">
        <v>32</v>
      </c>
      <c r="W32" s="14" t="s">
        <v>32</v>
      </c>
      <c r="X32" s="14" t="s">
        <v>32</v>
      </c>
      <c r="Y32" s="14" t="s">
        <v>32</v>
      </c>
      <c r="Z32" s="14"/>
      <c r="AA32" s="14"/>
    </row>
    <row r="33" spans="1:27" ht="22" customHeight="1" x14ac:dyDescent="0.2">
      <c r="A33" s="14" t="s">
        <v>101</v>
      </c>
      <c r="B33" s="15" t="s">
        <v>2</v>
      </c>
      <c r="C33" s="15" t="s">
        <v>3</v>
      </c>
      <c r="D33" s="14" t="s">
        <v>102</v>
      </c>
      <c r="E33" s="13" t="s">
        <v>60</v>
      </c>
      <c r="F33" s="94">
        <v>2.9513888888888888E-3</v>
      </c>
      <c r="G33" s="14" t="s">
        <v>39</v>
      </c>
      <c r="H33" s="14"/>
      <c r="I33" s="14" t="s">
        <v>32</v>
      </c>
      <c r="J33" s="14" t="s">
        <v>71</v>
      </c>
      <c r="K33" s="14"/>
      <c r="L33" s="16" t="s">
        <v>32</v>
      </c>
      <c r="M33" s="14" t="s">
        <v>32</v>
      </c>
      <c r="N33" s="14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/>
      <c r="X33" s="14"/>
      <c r="Y33" s="14"/>
      <c r="Z33" s="14"/>
      <c r="AA33" s="14"/>
    </row>
    <row r="34" spans="1:27" ht="22" customHeight="1" x14ac:dyDescent="0.2">
      <c r="A34" s="14" t="s">
        <v>103</v>
      </c>
      <c r="B34" s="15" t="s">
        <v>2</v>
      </c>
      <c r="C34" s="15" t="s">
        <v>3</v>
      </c>
      <c r="D34" s="14" t="s">
        <v>104</v>
      </c>
      <c r="E34" s="13" t="s">
        <v>30</v>
      </c>
      <c r="F34" s="94">
        <v>4.1319444444444442E-3</v>
      </c>
      <c r="G34" s="14" t="s">
        <v>31</v>
      </c>
      <c r="H34" s="14"/>
      <c r="I34" s="14"/>
      <c r="J34" s="14" t="s">
        <v>33</v>
      </c>
      <c r="K34" s="14"/>
      <c r="L34" s="12"/>
      <c r="M34" s="14"/>
      <c r="N34" s="14"/>
      <c r="O34" s="14" t="s">
        <v>32</v>
      </c>
      <c r="P34" s="14"/>
      <c r="Q34" s="14" t="s">
        <v>32</v>
      </c>
      <c r="R34" s="14" t="s">
        <v>32</v>
      </c>
      <c r="S34" s="14" t="s">
        <v>32</v>
      </c>
      <c r="T34" s="14"/>
      <c r="U34" s="14"/>
      <c r="V34" s="14" t="s">
        <v>32</v>
      </c>
      <c r="W34" s="14" t="s">
        <v>32</v>
      </c>
      <c r="X34" s="14"/>
      <c r="Y34" s="14" t="s">
        <v>32</v>
      </c>
      <c r="Z34" s="14" t="s">
        <v>32</v>
      </c>
      <c r="AA34" s="14"/>
    </row>
    <row r="35" spans="1:27" ht="22" customHeight="1" x14ac:dyDescent="0.2">
      <c r="A35" s="14" t="s">
        <v>105</v>
      </c>
      <c r="B35" s="15" t="s">
        <v>2</v>
      </c>
      <c r="C35" s="15" t="s">
        <v>3</v>
      </c>
      <c r="D35" s="14" t="s">
        <v>54</v>
      </c>
      <c r="E35" s="13" t="s">
        <v>30</v>
      </c>
      <c r="F35" s="94">
        <v>5.9606481481481481E-3</v>
      </c>
      <c r="G35" s="14" t="s">
        <v>31</v>
      </c>
      <c r="H35" s="14"/>
      <c r="I35" s="14" t="s">
        <v>32</v>
      </c>
      <c r="J35" s="14" t="s">
        <v>57</v>
      </c>
      <c r="K35" s="14"/>
      <c r="L35" s="12"/>
      <c r="M35" s="14"/>
      <c r="N35" s="14"/>
      <c r="O35" s="14" t="s">
        <v>32</v>
      </c>
      <c r="P35" s="14"/>
      <c r="Q35" s="14"/>
      <c r="R35" s="14" t="s">
        <v>32</v>
      </c>
      <c r="S35" s="14" t="s">
        <v>32</v>
      </c>
      <c r="T35" s="14" t="s">
        <v>32</v>
      </c>
      <c r="U35" s="14"/>
      <c r="V35" s="14" t="s">
        <v>32</v>
      </c>
      <c r="W35" s="14" t="s">
        <v>32</v>
      </c>
      <c r="X35" s="14"/>
      <c r="Y35" s="14" t="s">
        <v>32</v>
      </c>
      <c r="Z35" s="14" t="s">
        <v>32</v>
      </c>
      <c r="AA35" s="14"/>
    </row>
    <row r="36" spans="1:27" ht="22" customHeight="1" x14ac:dyDescent="0.2">
      <c r="A36" s="14" t="s">
        <v>106</v>
      </c>
      <c r="B36" s="15" t="s">
        <v>2</v>
      </c>
      <c r="C36" s="15" t="s">
        <v>3</v>
      </c>
      <c r="D36" s="14" t="s">
        <v>107</v>
      </c>
      <c r="E36" s="13" t="s">
        <v>30</v>
      </c>
      <c r="F36" s="94">
        <v>2.4305555555555556E-3</v>
      </c>
      <c r="G36" s="14" t="s">
        <v>36</v>
      </c>
      <c r="H36" s="14"/>
      <c r="I36" s="14"/>
      <c r="J36" s="14" t="s">
        <v>40</v>
      </c>
      <c r="K36" s="14"/>
      <c r="L36" s="12"/>
      <c r="M36" s="14" t="s">
        <v>32</v>
      </c>
      <c r="N36" s="14"/>
      <c r="O36" s="14"/>
      <c r="P36" s="14"/>
      <c r="Q36" s="14"/>
      <c r="R36" s="14"/>
      <c r="S36" s="14"/>
      <c r="T36" s="14"/>
      <c r="U36" s="14"/>
      <c r="V36" s="14" t="s">
        <v>32</v>
      </c>
      <c r="W36" s="14" t="s">
        <v>32</v>
      </c>
      <c r="X36" s="14"/>
      <c r="Y36" s="14"/>
      <c r="Z36" s="14" t="s">
        <v>32</v>
      </c>
      <c r="AA36" s="14"/>
    </row>
    <row r="37" spans="1:27" ht="22" customHeight="1" x14ac:dyDescent="0.2">
      <c r="A37" s="14" t="s">
        <v>108</v>
      </c>
      <c r="B37" s="15" t="s">
        <v>2</v>
      </c>
      <c r="C37" s="15" t="s">
        <v>3</v>
      </c>
      <c r="D37" s="14" t="s">
        <v>109</v>
      </c>
      <c r="E37" s="13" t="s">
        <v>60</v>
      </c>
      <c r="F37" s="94">
        <v>3.3680555555555556E-3</v>
      </c>
      <c r="G37" s="14" t="s">
        <v>36</v>
      </c>
      <c r="H37" s="14"/>
      <c r="I37" s="14" t="s">
        <v>32</v>
      </c>
      <c r="J37" s="14" t="s">
        <v>57</v>
      </c>
      <c r="K37" s="14"/>
      <c r="L37" s="16" t="s">
        <v>32</v>
      </c>
      <c r="M37" s="14" t="s">
        <v>32</v>
      </c>
      <c r="N37" s="14"/>
      <c r="O37" s="14" t="s">
        <v>32</v>
      </c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/>
      <c r="V37" s="14"/>
      <c r="W37" s="14"/>
      <c r="X37" s="14"/>
      <c r="Y37" s="14"/>
      <c r="Z37" s="14"/>
      <c r="AA37" s="14"/>
    </row>
    <row r="38" spans="1:27" ht="22" customHeight="1" x14ac:dyDescent="0.2">
      <c r="A38" s="14" t="s">
        <v>110</v>
      </c>
      <c r="B38" s="15" t="s">
        <v>2</v>
      </c>
      <c r="C38" s="15" t="s">
        <v>3</v>
      </c>
      <c r="D38" s="14" t="s">
        <v>111</v>
      </c>
      <c r="E38" s="13" t="s">
        <v>30</v>
      </c>
      <c r="F38" s="94">
        <v>2.6041666666666665E-3</v>
      </c>
      <c r="G38" s="14" t="s">
        <v>36</v>
      </c>
      <c r="H38" s="14"/>
      <c r="I38" s="14" t="s">
        <v>32</v>
      </c>
      <c r="J38" s="14" t="s">
        <v>40</v>
      </c>
      <c r="K38" s="14"/>
      <c r="L38" s="16" t="s">
        <v>32</v>
      </c>
      <c r="M38" s="14" t="s">
        <v>32</v>
      </c>
      <c r="N38" s="14" t="s">
        <v>32</v>
      </c>
      <c r="O38" s="14" t="s">
        <v>32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1:27" ht="22" customHeight="1" x14ac:dyDescent="0.2">
      <c r="A39" s="14" t="s">
        <v>112</v>
      </c>
      <c r="B39" s="15" t="s">
        <v>2</v>
      </c>
      <c r="C39" s="15" t="s">
        <v>3</v>
      </c>
      <c r="D39" s="14" t="s">
        <v>113</v>
      </c>
      <c r="E39" s="13" t="s">
        <v>30</v>
      </c>
      <c r="F39" s="94">
        <v>3.472222222222222E-3</v>
      </c>
      <c r="G39" s="14" t="s">
        <v>114</v>
      </c>
      <c r="H39" s="14"/>
      <c r="I39" s="14"/>
      <c r="J39" s="14" t="s">
        <v>43</v>
      </c>
      <c r="K39" s="14"/>
      <c r="L39" s="12"/>
      <c r="M39" s="14"/>
      <c r="N39" s="14"/>
      <c r="O39" s="14"/>
      <c r="P39" s="14"/>
      <c r="Q39" s="14"/>
      <c r="R39" s="14"/>
      <c r="S39" s="14"/>
      <c r="T39" s="14"/>
      <c r="U39" s="14"/>
      <c r="V39" s="14" t="s">
        <v>32</v>
      </c>
      <c r="W39" s="14" t="s">
        <v>32</v>
      </c>
      <c r="X39" s="14"/>
      <c r="Y39" s="14"/>
      <c r="Z39" s="14"/>
      <c r="AA39" s="14"/>
    </row>
    <row r="40" spans="1:27" ht="22" customHeight="1" x14ac:dyDescent="0.2">
      <c r="A40" s="14" t="s">
        <v>115</v>
      </c>
      <c r="B40" s="15" t="s">
        <v>2</v>
      </c>
      <c r="C40" s="15" t="s">
        <v>3</v>
      </c>
      <c r="D40" s="14" t="s">
        <v>100</v>
      </c>
      <c r="E40" s="13" t="s">
        <v>30</v>
      </c>
      <c r="F40" s="94">
        <v>2.0023148148148148E-3</v>
      </c>
      <c r="G40" s="14" t="s">
        <v>31</v>
      </c>
      <c r="H40" s="14"/>
      <c r="I40" s="14"/>
      <c r="J40" s="14" t="s">
        <v>33</v>
      </c>
      <c r="K40" s="14"/>
      <c r="L40" s="12"/>
      <c r="M40" s="14"/>
      <c r="N40" s="14"/>
      <c r="O40" s="14"/>
      <c r="P40" s="14" t="s">
        <v>32</v>
      </c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spans="1:27" ht="22" customHeight="1" x14ac:dyDescent="0.2">
      <c r="A41" s="14" t="s">
        <v>116</v>
      </c>
      <c r="B41" s="15" t="s">
        <v>2</v>
      </c>
      <c r="C41" s="15" t="s">
        <v>3</v>
      </c>
      <c r="D41" s="14" t="s">
        <v>117</v>
      </c>
      <c r="E41" s="13" t="s">
        <v>30</v>
      </c>
      <c r="F41" s="94">
        <v>3.460648148148148E-3</v>
      </c>
      <c r="G41" s="14" t="s">
        <v>36</v>
      </c>
      <c r="H41" s="14"/>
      <c r="I41" s="14" t="s">
        <v>32</v>
      </c>
      <c r="J41" s="14" t="s">
        <v>71</v>
      </c>
      <c r="K41" s="14"/>
      <c r="L41" s="12"/>
      <c r="M41" s="14"/>
      <c r="N41" s="14"/>
      <c r="O41" s="14" t="s">
        <v>32</v>
      </c>
      <c r="P41" s="14"/>
      <c r="Q41" s="14"/>
      <c r="R41" s="14" t="s">
        <v>32</v>
      </c>
      <c r="S41" s="14" t="s">
        <v>32</v>
      </c>
      <c r="T41" s="14"/>
      <c r="U41" s="14"/>
      <c r="V41" s="14"/>
      <c r="W41" s="14"/>
      <c r="X41" s="14"/>
      <c r="Y41" s="14"/>
      <c r="Z41" s="14"/>
      <c r="AA41" s="14"/>
    </row>
    <row r="42" spans="1:27" ht="22" customHeight="1" x14ac:dyDescent="0.2">
      <c r="A42" s="14" t="s">
        <v>118</v>
      </c>
      <c r="B42" s="15" t="s">
        <v>2</v>
      </c>
      <c r="C42" s="15" t="s">
        <v>3</v>
      </c>
      <c r="D42" s="14" t="s">
        <v>119</v>
      </c>
      <c r="E42" s="13" t="s">
        <v>30</v>
      </c>
      <c r="F42" s="94">
        <v>2.2569444444444442E-3</v>
      </c>
      <c r="G42" s="14" t="s">
        <v>36</v>
      </c>
      <c r="H42" s="14"/>
      <c r="I42" s="14" t="s">
        <v>32</v>
      </c>
      <c r="J42" s="14" t="s">
        <v>33</v>
      </c>
      <c r="K42" s="14"/>
      <c r="L42" s="12"/>
      <c r="M42" s="14"/>
      <c r="N42" s="14"/>
      <c r="O42" s="14" t="s">
        <v>32</v>
      </c>
      <c r="P42" s="14" t="s">
        <v>32</v>
      </c>
      <c r="Q42" s="14"/>
      <c r="R42" s="14" t="s">
        <v>32</v>
      </c>
      <c r="S42" s="14" t="s">
        <v>32</v>
      </c>
      <c r="T42" s="14" t="s">
        <v>32</v>
      </c>
      <c r="U42" s="14"/>
      <c r="V42" s="14"/>
      <c r="W42" s="14"/>
      <c r="X42" s="14"/>
      <c r="Y42" s="14"/>
      <c r="Z42" s="14"/>
      <c r="AA42" s="14"/>
    </row>
    <row r="43" spans="1:27" ht="22" customHeight="1" x14ac:dyDescent="0.2">
      <c r="A43" s="14" t="s">
        <v>120</v>
      </c>
      <c r="B43" s="15" t="s">
        <v>2</v>
      </c>
      <c r="C43" s="15" t="s">
        <v>3</v>
      </c>
      <c r="D43" s="14" t="s">
        <v>121</v>
      </c>
      <c r="E43" s="13" t="s">
        <v>30</v>
      </c>
      <c r="F43" s="94">
        <v>3.472222222222222E-3</v>
      </c>
      <c r="G43" s="14" t="s">
        <v>36</v>
      </c>
      <c r="H43" s="14"/>
      <c r="I43" s="14"/>
      <c r="J43" s="14" t="s">
        <v>43</v>
      </c>
      <c r="K43" s="14"/>
      <c r="L43" s="12"/>
      <c r="M43" s="14"/>
      <c r="N43" s="14"/>
      <c r="O43" s="14" t="s">
        <v>32</v>
      </c>
      <c r="P43" s="14"/>
      <c r="Q43" s="14"/>
      <c r="R43" s="14"/>
      <c r="S43" s="14"/>
      <c r="T43" s="14"/>
      <c r="U43" s="14"/>
      <c r="V43" s="14" t="s">
        <v>32</v>
      </c>
      <c r="W43" s="14"/>
      <c r="X43" s="14"/>
      <c r="Y43" s="14"/>
      <c r="Z43" s="14"/>
      <c r="AA43" s="14"/>
    </row>
    <row r="44" spans="1:27" ht="22" customHeight="1" x14ac:dyDescent="0.2">
      <c r="A44" s="14" t="s">
        <v>122</v>
      </c>
      <c r="B44" s="15" t="s">
        <v>2</v>
      </c>
      <c r="C44" s="15" t="s">
        <v>3</v>
      </c>
      <c r="D44" s="14" t="s">
        <v>54</v>
      </c>
      <c r="E44" s="13" t="s">
        <v>30</v>
      </c>
      <c r="F44" s="94">
        <v>2.0833333333333333E-3</v>
      </c>
      <c r="G44" s="14" t="s">
        <v>31</v>
      </c>
      <c r="H44" s="14"/>
      <c r="I44" s="14" t="s">
        <v>32</v>
      </c>
      <c r="J44" s="14" t="s">
        <v>33</v>
      </c>
      <c r="K44" s="14"/>
      <c r="L44" s="12"/>
      <c r="M44" s="14"/>
      <c r="N44" s="14"/>
      <c r="O44" s="14"/>
      <c r="P44" s="14" t="s">
        <v>32</v>
      </c>
      <c r="Q44" s="14" t="s">
        <v>32</v>
      </c>
      <c r="R44" s="14" t="s">
        <v>32</v>
      </c>
      <c r="S44" s="14"/>
      <c r="T44" s="14" t="s">
        <v>32</v>
      </c>
      <c r="U44" s="14"/>
      <c r="V44" s="14"/>
      <c r="W44" s="14"/>
      <c r="X44" s="14"/>
      <c r="Y44" s="14"/>
      <c r="Z44" s="14"/>
      <c r="AA44" s="14"/>
    </row>
    <row r="45" spans="1:27" ht="22" customHeight="1" x14ac:dyDescent="0.2">
      <c r="A45" s="14" t="s">
        <v>123</v>
      </c>
      <c r="B45" s="15" t="s">
        <v>2</v>
      </c>
      <c r="C45" s="15" t="s">
        <v>3</v>
      </c>
      <c r="D45" s="14" t="s">
        <v>124</v>
      </c>
      <c r="E45" s="13" t="s">
        <v>30</v>
      </c>
      <c r="F45" s="94">
        <v>3.1250000000000002E-3</v>
      </c>
      <c r="G45" s="14" t="s">
        <v>31</v>
      </c>
      <c r="H45" s="14"/>
      <c r="I45" s="14"/>
      <c r="J45" s="14" t="s">
        <v>33</v>
      </c>
      <c r="K45" s="14" t="s">
        <v>32</v>
      </c>
      <c r="L45" s="12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spans="1:27" ht="22" customHeight="1" x14ac:dyDescent="0.2">
      <c r="A46" s="14" t="s">
        <v>125</v>
      </c>
      <c r="B46" s="15" t="s">
        <v>2</v>
      </c>
      <c r="C46" s="15" t="s">
        <v>3</v>
      </c>
      <c r="D46" s="14" t="s">
        <v>95</v>
      </c>
      <c r="E46" s="13" t="s">
        <v>30</v>
      </c>
      <c r="F46" s="94">
        <v>3.3217592592592591E-3</v>
      </c>
      <c r="G46" s="14" t="s">
        <v>36</v>
      </c>
      <c r="H46" s="14"/>
      <c r="I46" s="14" t="s">
        <v>32</v>
      </c>
      <c r="J46" s="14" t="s">
        <v>33</v>
      </c>
      <c r="K46" s="14"/>
      <c r="L46" s="16" t="s">
        <v>32</v>
      </c>
      <c r="M46" s="14" t="s">
        <v>32</v>
      </c>
      <c r="N46" s="14" t="s">
        <v>32</v>
      </c>
      <c r="O46" s="14" t="s">
        <v>32</v>
      </c>
      <c r="P46" s="14" t="s">
        <v>32</v>
      </c>
      <c r="Q46" s="14" t="s">
        <v>32</v>
      </c>
      <c r="R46" s="14" t="s">
        <v>32</v>
      </c>
      <c r="S46" s="14" t="s">
        <v>32</v>
      </c>
      <c r="T46" s="14" t="s">
        <v>32</v>
      </c>
      <c r="U46" s="14" t="s">
        <v>32</v>
      </c>
      <c r="V46" s="14" t="s">
        <v>32</v>
      </c>
      <c r="W46" s="14" t="s">
        <v>32</v>
      </c>
      <c r="X46" s="14" t="s">
        <v>32</v>
      </c>
      <c r="Y46" s="14" t="s">
        <v>32</v>
      </c>
      <c r="Z46" s="14" t="s">
        <v>32</v>
      </c>
      <c r="AA46" s="14" t="s">
        <v>32</v>
      </c>
    </row>
    <row r="47" spans="1:27" ht="22" customHeight="1" x14ac:dyDescent="0.2">
      <c r="A47" s="14" t="s">
        <v>126</v>
      </c>
      <c r="B47" s="71"/>
      <c r="C47" s="71"/>
      <c r="D47" s="14" t="s">
        <v>127</v>
      </c>
      <c r="E47" s="13" t="s">
        <v>30</v>
      </c>
      <c r="F47" s="94"/>
      <c r="G47" s="14" t="s">
        <v>128</v>
      </c>
      <c r="H47" s="14"/>
      <c r="I47" s="14"/>
      <c r="J47" s="14" t="s">
        <v>33</v>
      </c>
      <c r="K47" s="14"/>
      <c r="L47" s="12"/>
      <c r="M47" s="14"/>
      <c r="N47" s="14"/>
      <c r="O47" s="14"/>
      <c r="P47" s="14"/>
      <c r="Q47" s="14" t="s">
        <v>32</v>
      </c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spans="1:27" ht="17" customHeight="1" x14ac:dyDescent="0.2">
      <c r="A48" s="14" t="s">
        <v>129</v>
      </c>
      <c r="B48" s="15" t="s">
        <v>2</v>
      </c>
      <c r="C48" s="15" t="s">
        <v>3</v>
      </c>
      <c r="D48" s="14" t="s">
        <v>130</v>
      </c>
      <c r="E48" s="13" t="s">
        <v>30</v>
      </c>
      <c r="F48" s="94">
        <v>2.0949074074074073E-3</v>
      </c>
      <c r="G48" s="14" t="s">
        <v>31</v>
      </c>
      <c r="H48" s="14"/>
      <c r="I48" s="14" t="s">
        <v>32</v>
      </c>
      <c r="J48" s="14" t="s">
        <v>57</v>
      </c>
      <c r="K48" s="14"/>
      <c r="L48" s="16" t="s">
        <v>32</v>
      </c>
      <c r="M48" s="14" t="s">
        <v>32</v>
      </c>
      <c r="N48" s="14"/>
      <c r="O48" s="14" t="s">
        <v>32</v>
      </c>
      <c r="P48" s="14"/>
      <c r="Q48" s="14" t="s">
        <v>32</v>
      </c>
      <c r="R48" s="14" t="s">
        <v>32</v>
      </c>
      <c r="S48" s="14"/>
      <c r="T48" s="14"/>
      <c r="U48" s="14"/>
      <c r="V48" s="14" t="s">
        <v>32</v>
      </c>
      <c r="W48" s="14" t="s">
        <v>32</v>
      </c>
      <c r="X48" s="14"/>
      <c r="Y48" s="14" t="s">
        <v>32</v>
      </c>
      <c r="Z48" s="14" t="s">
        <v>32</v>
      </c>
      <c r="AA48" s="14" t="s">
        <v>32</v>
      </c>
    </row>
    <row r="49" spans="1:27" x14ac:dyDescent="0.2">
      <c r="A49" s="12"/>
      <c r="B49" s="12"/>
      <c r="C49" s="12"/>
      <c r="D49" s="72"/>
      <c r="E49" s="7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21" sqref="A21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73" t="s">
        <v>131</v>
      </c>
      <c r="B1" s="63"/>
      <c r="C1" s="63"/>
      <c r="D1" s="63"/>
      <c r="E1" s="63"/>
      <c r="F1" s="63"/>
      <c r="G1" s="63"/>
      <c r="H1" s="63"/>
      <c r="I1" s="63"/>
      <c r="J1" s="63"/>
      <c r="K1" s="79"/>
      <c r="L1" s="63"/>
    </row>
    <row r="2" spans="1:12" s="2" customFormat="1" ht="22" customHeight="1" thickTop="1" thickBot="1" x14ac:dyDescent="0.25">
      <c r="A2" s="80" t="s">
        <v>132</v>
      </c>
      <c r="B2" s="81" t="s">
        <v>133</v>
      </c>
      <c r="C2" s="80" t="s">
        <v>134</v>
      </c>
      <c r="D2" s="80" t="s">
        <v>135</v>
      </c>
      <c r="E2" s="80" t="s">
        <v>136</v>
      </c>
      <c r="F2" s="81" t="s">
        <v>137</v>
      </c>
      <c r="G2" s="80" t="s">
        <v>138</v>
      </c>
      <c r="H2" s="80" t="s">
        <v>139</v>
      </c>
      <c r="I2" s="80" t="s">
        <v>140</v>
      </c>
      <c r="J2" s="80" t="s">
        <v>141</v>
      </c>
      <c r="K2" s="82" t="s">
        <v>142</v>
      </c>
      <c r="L2" s="80" t="s">
        <v>143</v>
      </c>
    </row>
    <row r="3" spans="1:12" ht="22" customHeight="1" thickTop="1" x14ac:dyDescent="0.25">
      <c r="A3" s="83" t="s">
        <v>144</v>
      </c>
      <c r="B3" s="18" t="s">
        <v>145</v>
      </c>
      <c r="C3" s="13" t="s">
        <v>146</v>
      </c>
      <c r="D3" s="13" t="s">
        <v>147</v>
      </c>
      <c r="E3" s="13">
        <v>10</v>
      </c>
      <c r="F3" s="18"/>
      <c r="G3" s="13"/>
      <c r="H3" s="13"/>
      <c r="I3" s="13"/>
      <c r="J3" s="13"/>
      <c r="K3" s="84"/>
      <c r="L3" s="13"/>
    </row>
    <row r="4" spans="1:12" ht="22" customHeight="1" x14ac:dyDescent="0.25">
      <c r="A4" s="83" t="s">
        <v>148</v>
      </c>
      <c r="B4" s="19" t="s">
        <v>149</v>
      </c>
      <c r="C4" s="14" t="s">
        <v>150</v>
      </c>
      <c r="D4" s="14" t="s">
        <v>151</v>
      </c>
      <c r="E4" s="14">
        <v>11</v>
      </c>
      <c r="F4" s="19"/>
      <c r="G4" s="14"/>
      <c r="H4" s="14"/>
      <c r="I4" s="14"/>
      <c r="J4" s="14"/>
      <c r="K4" s="85"/>
      <c r="L4" s="14"/>
    </row>
    <row r="5" spans="1:12" ht="22" customHeight="1" x14ac:dyDescent="0.25">
      <c r="A5" s="83" t="s">
        <v>152</v>
      </c>
      <c r="B5" s="19" t="s">
        <v>149</v>
      </c>
      <c r="C5" s="14" t="s">
        <v>153</v>
      </c>
      <c r="D5" s="14"/>
      <c r="E5" s="14">
        <v>16</v>
      </c>
      <c r="F5" s="19"/>
      <c r="G5" s="14" t="s">
        <v>153</v>
      </c>
      <c r="H5" s="14" t="s">
        <v>154</v>
      </c>
      <c r="I5" s="14"/>
      <c r="J5" s="14"/>
      <c r="K5" s="85"/>
      <c r="L5" s="14"/>
    </row>
    <row r="6" spans="1:12" ht="22" customHeight="1" x14ac:dyDescent="0.25">
      <c r="A6" s="83" t="s">
        <v>155</v>
      </c>
      <c r="B6" s="19" t="s">
        <v>149</v>
      </c>
      <c r="C6" s="14" t="s">
        <v>156</v>
      </c>
      <c r="D6" s="14" t="s">
        <v>157</v>
      </c>
      <c r="E6" s="14">
        <v>11</v>
      </c>
      <c r="F6" s="19"/>
      <c r="G6" s="14" t="s">
        <v>158</v>
      </c>
      <c r="H6" s="14" t="s">
        <v>159</v>
      </c>
      <c r="I6" s="14"/>
      <c r="J6" s="14"/>
      <c r="K6" s="85">
        <v>100</v>
      </c>
      <c r="L6" s="14"/>
    </row>
    <row r="7" spans="1:12" ht="22" customHeight="1" x14ac:dyDescent="0.25">
      <c r="A7" s="83" t="s">
        <v>160</v>
      </c>
      <c r="B7" s="19" t="s">
        <v>149</v>
      </c>
      <c r="C7" s="14" t="s">
        <v>153</v>
      </c>
      <c r="D7" s="14"/>
      <c r="E7" s="14">
        <v>21</v>
      </c>
      <c r="F7" s="19"/>
      <c r="G7" s="14" t="s">
        <v>153</v>
      </c>
      <c r="H7" s="14" t="s">
        <v>154</v>
      </c>
      <c r="I7" s="14"/>
      <c r="J7" s="14"/>
      <c r="K7" s="85"/>
      <c r="L7" s="14"/>
    </row>
    <row r="8" spans="1:12" ht="22" customHeight="1" x14ac:dyDescent="0.25">
      <c r="A8" s="83" t="s">
        <v>161</v>
      </c>
      <c r="B8" s="19" t="s">
        <v>145</v>
      </c>
      <c r="C8" s="14" t="s">
        <v>146</v>
      </c>
      <c r="D8" s="14" t="s">
        <v>147</v>
      </c>
      <c r="E8" s="14">
        <v>26</v>
      </c>
      <c r="F8" s="19"/>
      <c r="G8" s="14"/>
      <c r="H8" s="14"/>
      <c r="I8" s="14"/>
      <c r="J8" s="14"/>
      <c r="K8" s="85"/>
      <c r="L8" s="14"/>
    </row>
    <row r="9" spans="1:12" ht="22" customHeight="1" x14ac:dyDescent="0.25">
      <c r="A9" s="83" t="s">
        <v>162</v>
      </c>
      <c r="B9" s="19" t="s">
        <v>149</v>
      </c>
      <c r="C9" s="14" t="s">
        <v>153</v>
      </c>
      <c r="D9" s="14" t="s">
        <v>163</v>
      </c>
      <c r="E9" s="14">
        <v>11</v>
      </c>
      <c r="F9" s="19"/>
      <c r="G9" s="14" t="s">
        <v>153</v>
      </c>
      <c r="H9" s="14" t="s">
        <v>154</v>
      </c>
      <c r="I9" s="14"/>
      <c r="J9" s="14"/>
      <c r="K9" s="85"/>
      <c r="L9" s="14"/>
    </row>
    <row r="10" spans="1:12" ht="22" customHeight="1" x14ac:dyDescent="0.25">
      <c r="A10" s="83" t="s">
        <v>164</v>
      </c>
      <c r="B10" s="19" t="s">
        <v>149</v>
      </c>
      <c r="C10" s="14" t="s">
        <v>150</v>
      </c>
      <c r="D10" s="14" t="s">
        <v>151</v>
      </c>
      <c r="E10" s="14">
        <v>13</v>
      </c>
      <c r="F10" s="19"/>
      <c r="G10" s="14"/>
      <c r="H10" s="14"/>
      <c r="I10" s="14"/>
      <c r="J10" s="14"/>
      <c r="K10" s="85"/>
      <c r="L10" s="14"/>
    </row>
    <row r="11" spans="1:12" ht="22" customHeight="1" x14ac:dyDescent="0.25">
      <c r="A11" s="83" t="s">
        <v>165</v>
      </c>
      <c r="B11" s="19" t="s">
        <v>149</v>
      </c>
      <c r="C11" s="14" t="s">
        <v>153</v>
      </c>
      <c r="D11" s="14"/>
      <c r="E11" s="14">
        <v>19</v>
      </c>
      <c r="F11" s="19"/>
      <c r="G11" s="14" t="s">
        <v>153</v>
      </c>
      <c r="H11" s="14" t="s">
        <v>154</v>
      </c>
      <c r="I11" s="14"/>
      <c r="J11" s="14"/>
      <c r="K11" s="85"/>
      <c r="L11" s="14"/>
    </row>
    <row r="12" spans="1:12" ht="22" customHeight="1" x14ac:dyDescent="0.25">
      <c r="A12" s="83" t="s">
        <v>166</v>
      </c>
      <c r="B12" s="19" t="s">
        <v>149</v>
      </c>
      <c r="C12" s="14" t="s">
        <v>167</v>
      </c>
      <c r="D12" s="14"/>
      <c r="E12" s="14">
        <v>28</v>
      </c>
      <c r="F12" s="19"/>
      <c r="G12" s="14"/>
      <c r="H12" s="14"/>
      <c r="I12" s="14"/>
      <c r="J12" s="14"/>
      <c r="K12" s="85"/>
      <c r="L12" s="14"/>
    </row>
    <row r="13" spans="1:12" ht="22" customHeight="1" x14ac:dyDescent="0.25">
      <c r="A13" s="83" t="s">
        <v>168</v>
      </c>
      <c r="B13" s="19" t="s">
        <v>145</v>
      </c>
      <c r="C13" s="14" t="s">
        <v>146</v>
      </c>
      <c r="D13" s="14" t="s">
        <v>147</v>
      </c>
      <c r="E13" s="14">
        <v>14</v>
      </c>
      <c r="F13" s="19"/>
      <c r="G13" s="14"/>
      <c r="H13" s="14"/>
      <c r="I13" s="14"/>
      <c r="J13" s="14"/>
      <c r="K13" s="85"/>
      <c r="L13" s="14"/>
    </row>
    <row r="14" spans="1:12" ht="22" customHeight="1" x14ac:dyDescent="0.2">
      <c r="A14" s="19" t="s">
        <v>169</v>
      </c>
      <c r="B14" s="19"/>
      <c r="C14" s="14" t="s">
        <v>170</v>
      </c>
      <c r="D14" s="14"/>
      <c r="E14" s="14"/>
      <c r="F14" s="19"/>
      <c r="G14" s="14" t="s">
        <v>171</v>
      </c>
      <c r="H14" s="14" t="s">
        <v>172</v>
      </c>
      <c r="I14" s="14"/>
      <c r="J14" s="14"/>
      <c r="K14" s="85"/>
      <c r="L14" s="14" t="s">
        <v>173</v>
      </c>
    </row>
    <row r="15" spans="1:12" ht="22" customHeight="1" x14ac:dyDescent="0.25">
      <c r="A15" s="83" t="s">
        <v>174</v>
      </c>
      <c r="B15" s="19" t="s">
        <v>175</v>
      </c>
      <c r="C15" s="14" t="s">
        <v>176</v>
      </c>
      <c r="D15" s="14" t="s">
        <v>177</v>
      </c>
      <c r="E15" s="14">
        <v>13</v>
      </c>
      <c r="F15" s="19">
        <v>60</v>
      </c>
      <c r="G15" s="14" t="s">
        <v>178</v>
      </c>
      <c r="H15" s="14" t="s">
        <v>179</v>
      </c>
      <c r="I15" s="14" t="s">
        <v>180</v>
      </c>
      <c r="J15" s="14" t="s">
        <v>181</v>
      </c>
      <c r="K15" s="85"/>
      <c r="L15" s="14"/>
    </row>
    <row r="16" spans="1:12" ht="22" customHeight="1" x14ac:dyDescent="0.25">
      <c r="A16" s="83" t="s">
        <v>182</v>
      </c>
      <c r="B16" s="19" t="s">
        <v>175</v>
      </c>
      <c r="C16" s="14" t="s">
        <v>183</v>
      </c>
      <c r="D16" s="14"/>
      <c r="E16" s="14">
        <v>31</v>
      </c>
      <c r="F16" s="19"/>
      <c r="G16" s="14" t="s">
        <v>183</v>
      </c>
      <c r="H16" s="14" t="s">
        <v>184</v>
      </c>
      <c r="I16" s="14"/>
      <c r="J16" s="14"/>
      <c r="K16" s="85"/>
      <c r="L16" s="14"/>
    </row>
    <row r="17" spans="1:12" ht="22" customHeight="1" x14ac:dyDescent="0.25">
      <c r="A17" s="83" t="s">
        <v>185</v>
      </c>
      <c r="B17" s="19" t="s">
        <v>149</v>
      </c>
      <c r="C17" s="14" t="s">
        <v>167</v>
      </c>
      <c r="D17" s="14" t="s">
        <v>186</v>
      </c>
      <c r="E17" s="14">
        <v>10</v>
      </c>
      <c r="F17" s="19">
        <v>45</v>
      </c>
      <c r="G17" s="14"/>
      <c r="H17" s="14"/>
      <c r="I17" s="14"/>
      <c r="J17" s="14"/>
      <c r="K17" s="85"/>
      <c r="L17" s="14"/>
    </row>
    <row r="18" spans="1:12" ht="22" customHeight="1" x14ac:dyDescent="0.25">
      <c r="A18" s="83" t="s">
        <v>187</v>
      </c>
      <c r="B18" s="19" t="s">
        <v>149</v>
      </c>
      <c r="C18" s="14" t="s">
        <v>150</v>
      </c>
      <c r="D18" s="14" t="s">
        <v>151</v>
      </c>
      <c r="E18" s="14">
        <v>16</v>
      </c>
      <c r="F18" s="19">
        <v>75</v>
      </c>
      <c r="G18" s="14"/>
      <c r="H18" s="14"/>
      <c r="I18" s="14"/>
      <c r="J18" s="14"/>
      <c r="K18" s="85"/>
      <c r="L18" s="14"/>
    </row>
    <row r="19" spans="1:12" ht="22" customHeight="1" x14ac:dyDescent="0.25">
      <c r="A19" s="83" t="s">
        <v>188</v>
      </c>
      <c r="B19" s="19" t="s">
        <v>189</v>
      </c>
      <c r="C19" s="14" t="s">
        <v>153</v>
      </c>
      <c r="D19" s="14" t="s">
        <v>163</v>
      </c>
      <c r="E19" s="14"/>
      <c r="F19" s="19">
        <v>75</v>
      </c>
      <c r="G19" s="14" t="s">
        <v>153</v>
      </c>
      <c r="H19" s="14" t="s">
        <v>154</v>
      </c>
      <c r="I19" s="14" t="s">
        <v>190</v>
      </c>
      <c r="J19" s="14" t="s">
        <v>191</v>
      </c>
      <c r="K19" s="85"/>
      <c r="L19" s="14"/>
    </row>
    <row r="20" spans="1:12" ht="22" customHeight="1" x14ac:dyDescent="0.25">
      <c r="A20" s="83" t="s">
        <v>192</v>
      </c>
      <c r="B20" s="19" t="s">
        <v>175</v>
      </c>
      <c r="C20" s="14" t="s">
        <v>153</v>
      </c>
      <c r="D20" s="14" t="s">
        <v>193</v>
      </c>
      <c r="E20" s="14"/>
      <c r="F20" s="19">
        <v>120</v>
      </c>
      <c r="G20" s="14" t="s">
        <v>153</v>
      </c>
      <c r="H20" s="14" t="s">
        <v>154</v>
      </c>
      <c r="I20" s="14" t="s">
        <v>194</v>
      </c>
      <c r="J20" s="14" t="s">
        <v>195</v>
      </c>
      <c r="K20" s="85">
        <v>150</v>
      </c>
      <c r="L20" s="14"/>
    </row>
    <row r="21" spans="1:12" ht="22" customHeight="1" x14ac:dyDescent="0.25">
      <c r="A21" s="83" t="s">
        <v>196</v>
      </c>
      <c r="B21" s="19" t="s">
        <v>149</v>
      </c>
      <c r="C21" s="14" t="s">
        <v>197</v>
      </c>
      <c r="D21" s="14"/>
      <c r="E21" s="14"/>
      <c r="F21" s="19"/>
      <c r="G21" s="14" t="s">
        <v>198</v>
      </c>
      <c r="H21" s="14" t="s">
        <v>199</v>
      </c>
      <c r="I21" s="14"/>
      <c r="J21" s="14"/>
      <c r="K21" s="85"/>
      <c r="L21" s="14"/>
    </row>
    <row r="22" spans="1:12" ht="22" customHeight="1" x14ac:dyDescent="0.25">
      <c r="A22" s="83" t="s">
        <v>200</v>
      </c>
      <c r="B22" s="19" t="s">
        <v>145</v>
      </c>
      <c r="C22" s="14" t="s">
        <v>156</v>
      </c>
      <c r="D22" s="14" t="s">
        <v>157</v>
      </c>
      <c r="E22" s="14"/>
      <c r="F22" s="19"/>
      <c r="G22" s="14" t="s">
        <v>158</v>
      </c>
      <c r="H22" s="14" t="s">
        <v>159</v>
      </c>
      <c r="I22" s="14"/>
      <c r="J22" s="14"/>
      <c r="K22" s="85"/>
      <c r="L22" s="14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73" t="s">
        <v>201</v>
      </c>
      <c r="B1" s="74"/>
      <c r="C1" s="74"/>
      <c r="D1" s="74"/>
      <c r="E1" s="74"/>
      <c r="F1" s="74"/>
      <c r="G1" s="74"/>
      <c r="H1" s="74"/>
    </row>
    <row r="2" spans="1:8" s="11" customFormat="1" ht="28" customHeight="1" thickTop="1" thickBot="1" x14ac:dyDescent="0.3">
      <c r="A2" s="73" t="s">
        <v>202</v>
      </c>
      <c r="B2" s="75" t="s">
        <v>203</v>
      </c>
      <c r="C2" s="75" t="s">
        <v>204</v>
      </c>
      <c r="D2" s="75" t="s">
        <v>205</v>
      </c>
      <c r="E2" s="75" t="s">
        <v>206</v>
      </c>
      <c r="F2" s="75" t="s">
        <v>207</v>
      </c>
      <c r="G2" s="75"/>
      <c r="H2" s="75"/>
    </row>
    <row r="3" spans="1:8" ht="20" customHeight="1" thickTop="1" x14ac:dyDescent="0.25">
      <c r="A3" s="13" t="s">
        <v>208</v>
      </c>
      <c r="B3" s="13" t="s">
        <v>54</v>
      </c>
      <c r="C3" s="13" t="s">
        <v>209</v>
      </c>
      <c r="D3" s="13" t="s">
        <v>33</v>
      </c>
      <c r="E3" s="13" t="s">
        <v>210</v>
      </c>
      <c r="F3" s="17" t="s">
        <v>211</v>
      </c>
      <c r="G3" s="17"/>
      <c r="H3" s="17"/>
    </row>
    <row r="4" spans="1:8" ht="20" customHeight="1" x14ac:dyDescent="0.25">
      <c r="A4" s="14" t="s">
        <v>212</v>
      </c>
      <c r="B4" s="14" t="s">
        <v>213</v>
      </c>
      <c r="C4" s="14" t="s">
        <v>214</v>
      </c>
      <c r="D4" s="14" t="s">
        <v>40</v>
      </c>
      <c r="E4" s="14" t="s">
        <v>215</v>
      </c>
      <c r="F4" s="17" t="s">
        <v>216</v>
      </c>
      <c r="G4" s="17"/>
      <c r="H4" s="17"/>
    </row>
    <row r="5" spans="1:8" ht="20" customHeight="1" x14ac:dyDescent="0.25">
      <c r="A5" s="14" t="s">
        <v>217</v>
      </c>
      <c r="B5" s="14" t="s">
        <v>218</v>
      </c>
      <c r="C5" s="14" t="s">
        <v>36</v>
      </c>
      <c r="D5" s="14" t="s">
        <v>71</v>
      </c>
      <c r="E5" s="14"/>
      <c r="F5" s="17" t="s">
        <v>219</v>
      </c>
      <c r="G5" s="17"/>
      <c r="H5" s="17"/>
    </row>
    <row r="6" spans="1:8" ht="20" customHeight="1" x14ac:dyDescent="0.25">
      <c r="A6" s="14" t="s">
        <v>220</v>
      </c>
      <c r="B6" s="14" t="s">
        <v>221</v>
      </c>
      <c r="C6" s="14" t="s">
        <v>36</v>
      </c>
      <c r="D6" s="14" t="s">
        <v>40</v>
      </c>
      <c r="E6" s="14" t="s">
        <v>222</v>
      </c>
      <c r="F6" s="17" t="s">
        <v>223</v>
      </c>
      <c r="G6" s="17"/>
      <c r="H6" s="17"/>
    </row>
    <row r="7" spans="1:8" ht="17" customHeight="1" x14ac:dyDescent="0.25">
      <c r="A7" s="17" t="s">
        <v>224</v>
      </c>
      <c r="B7" s="17" t="s">
        <v>225</v>
      </c>
      <c r="C7" s="17"/>
      <c r="D7" s="17"/>
      <c r="E7" s="17"/>
      <c r="F7" s="17" t="s">
        <v>226</v>
      </c>
      <c r="G7" s="17"/>
      <c r="H7" s="17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76" t="s">
        <v>227</v>
      </c>
      <c r="B1" s="77"/>
      <c r="C1" s="77"/>
      <c r="D1" s="77"/>
      <c r="E1" s="77"/>
      <c r="F1" s="77"/>
      <c r="G1" s="77"/>
    </row>
    <row r="2" spans="1:7" s="4" customFormat="1" ht="22" customHeight="1" thickTop="1" thickBot="1" x14ac:dyDescent="0.25">
      <c r="A2" s="78" t="s">
        <v>134</v>
      </c>
      <c r="B2" s="78" t="s">
        <v>228</v>
      </c>
      <c r="C2" s="78" t="s">
        <v>229</v>
      </c>
      <c r="D2" s="78" t="s">
        <v>230</v>
      </c>
      <c r="E2" s="78" t="s">
        <v>231</v>
      </c>
      <c r="F2" s="78" t="s">
        <v>232</v>
      </c>
      <c r="G2" s="78" t="s">
        <v>143</v>
      </c>
    </row>
    <row r="3" spans="1:7" ht="22" customHeight="1" thickTop="1" x14ac:dyDescent="0.2">
      <c r="A3" s="13" t="s">
        <v>233</v>
      </c>
      <c r="B3" s="13" t="s">
        <v>234</v>
      </c>
      <c r="C3" s="13" t="s">
        <v>235</v>
      </c>
      <c r="D3" s="13" t="s">
        <v>236</v>
      </c>
      <c r="E3" s="13"/>
      <c r="F3" s="13" t="s">
        <v>237</v>
      </c>
      <c r="G3" s="13" t="s">
        <v>238</v>
      </c>
    </row>
    <row r="4" spans="1:7" ht="22" customHeight="1" x14ac:dyDescent="0.2">
      <c r="A4" s="14" t="s">
        <v>239</v>
      </c>
      <c r="B4" s="14" t="s">
        <v>240</v>
      </c>
      <c r="C4" s="14" t="s">
        <v>241</v>
      </c>
      <c r="D4" s="14" t="s">
        <v>242</v>
      </c>
      <c r="E4" s="14" t="s">
        <v>168</v>
      </c>
      <c r="F4" s="14" t="s">
        <v>237</v>
      </c>
      <c r="G4" s="14" t="s">
        <v>243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61" t="s">
        <v>244</v>
      </c>
      <c r="B1" s="63"/>
      <c r="C1" s="63"/>
      <c r="D1" s="63"/>
      <c r="E1" s="63"/>
      <c r="F1" s="63"/>
      <c r="G1" s="63"/>
      <c r="H1" s="63"/>
    </row>
    <row r="2" spans="1:8" s="2" customFormat="1" ht="22" customHeight="1" thickTop="1" thickBot="1" x14ac:dyDescent="0.25">
      <c r="A2" s="86" t="s">
        <v>132</v>
      </c>
      <c r="B2" s="86" t="s">
        <v>245</v>
      </c>
      <c r="C2" s="86" t="s">
        <v>246</v>
      </c>
      <c r="D2" s="86" t="s">
        <v>247</v>
      </c>
      <c r="E2" s="86" t="s">
        <v>143</v>
      </c>
      <c r="F2" s="63"/>
      <c r="G2" s="63"/>
      <c r="H2" s="63"/>
    </row>
    <row r="3" spans="1:8" ht="18" customHeight="1" thickTop="1" x14ac:dyDescent="0.25">
      <c r="A3" s="87">
        <v>46154</v>
      </c>
      <c r="B3" s="17" t="s">
        <v>248</v>
      </c>
      <c r="C3" s="17" t="s">
        <v>31</v>
      </c>
      <c r="D3" s="88">
        <v>86.99</v>
      </c>
      <c r="E3" s="17" t="s">
        <v>249</v>
      </c>
      <c r="F3" s="17"/>
      <c r="G3" s="17"/>
      <c r="H3" s="17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253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x14ac:dyDescent="0.2">
      <c r="A3" s="49"/>
      <c r="B3" s="44"/>
      <c r="C3" s="51"/>
      <c r="D3" s="51"/>
      <c r="E3" s="44"/>
      <c r="F3" s="53"/>
    </row>
    <row r="4" spans="1:6" ht="22" customHeight="1" thickBot="1" x14ac:dyDescent="0.25">
      <c r="A4" s="54"/>
      <c r="B4" s="55" t="s">
        <v>253</v>
      </c>
      <c r="C4" s="56"/>
      <c r="D4" s="56"/>
      <c r="E4" s="55"/>
      <c r="F4" s="57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pane ySplit="2" topLeftCell="A3" activePane="bottomLeft" state="frozen"/>
      <selection pane="bottomLeft" activeCell="L36" sqref="L36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5" customWidth="1"/>
    <col min="6" max="6" width="10" style="20" customWidth="1"/>
  </cols>
  <sheetData>
    <row r="1" spans="1:6" ht="30" customHeight="1" x14ac:dyDescent="0.2">
      <c r="A1" s="89" t="s">
        <v>255</v>
      </c>
      <c r="B1" s="90"/>
      <c r="C1" s="90"/>
      <c r="D1" s="90"/>
      <c r="E1" s="90"/>
      <c r="F1" s="91"/>
    </row>
    <row r="2" spans="1:6" ht="22" customHeight="1" thickBot="1" x14ac:dyDescent="0.25">
      <c r="A2" s="38" t="s">
        <v>251</v>
      </c>
      <c r="B2" s="39" t="s">
        <v>1</v>
      </c>
      <c r="C2" s="39" t="s">
        <v>2</v>
      </c>
      <c r="D2" s="39" t="s">
        <v>3</v>
      </c>
      <c r="E2" s="39" t="s">
        <v>252</v>
      </c>
      <c r="F2" s="40" t="s">
        <v>6</v>
      </c>
    </row>
    <row r="3" spans="1:6" ht="22" customHeight="1" x14ac:dyDescent="0.2">
      <c r="A3" s="34">
        <v>1</v>
      </c>
      <c r="B3" s="35" t="s">
        <v>49</v>
      </c>
      <c r="C3" s="36" t="s">
        <v>2</v>
      </c>
      <c r="D3" s="36" t="s">
        <v>3</v>
      </c>
      <c r="E3" s="35" t="s">
        <v>50</v>
      </c>
      <c r="F3" s="37">
        <v>2.1874999999999998E-3</v>
      </c>
    </row>
    <row r="4" spans="1:6" ht="22" customHeight="1" x14ac:dyDescent="0.2">
      <c r="A4" s="28">
        <v>2</v>
      </c>
      <c r="B4" s="21" t="s">
        <v>101</v>
      </c>
      <c r="C4" s="22" t="s">
        <v>2</v>
      </c>
      <c r="D4" s="22" t="s">
        <v>3</v>
      </c>
      <c r="E4" s="21" t="s">
        <v>39</v>
      </c>
      <c r="F4" s="31">
        <v>2.9513888888888888E-3</v>
      </c>
    </row>
    <row r="5" spans="1:6" ht="22" customHeight="1" x14ac:dyDescent="0.2">
      <c r="A5" s="28">
        <v>3</v>
      </c>
      <c r="B5" s="21" t="s">
        <v>74</v>
      </c>
      <c r="C5" s="22" t="s">
        <v>2</v>
      </c>
      <c r="D5" s="22" t="s">
        <v>3</v>
      </c>
      <c r="E5" s="21" t="s">
        <v>36</v>
      </c>
      <c r="F5" s="31">
        <v>2.6041666666666665E-3</v>
      </c>
    </row>
    <row r="6" spans="1:6" ht="22" customHeight="1" x14ac:dyDescent="0.2">
      <c r="A6" s="28">
        <v>4</v>
      </c>
      <c r="B6" s="21" t="s">
        <v>80</v>
      </c>
      <c r="C6" s="22" t="s">
        <v>2</v>
      </c>
      <c r="D6" s="22" t="s">
        <v>3</v>
      </c>
      <c r="E6" s="21" t="s">
        <v>39</v>
      </c>
      <c r="F6" s="31">
        <v>2.5810185185185185E-3</v>
      </c>
    </row>
    <row r="7" spans="1:6" ht="22" customHeight="1" x14ac:dyDescent="0.2">
      <c r="A7" s="28">
        <v>5</v>
      </c>
      <c r="B7" s="21" t="s">
        <v>72</v>
      </c>
      <c r="C7" s="22" t="s">
        <v>2</v>
      </c>
      <c r="D7" s="22" t="s">
        <v>3</v>
      </c>
      <c r="E7" s="21" t="s">
        <v>31</v>
      </c>
      <c r="F7" s="31">
        <v>2.4305555555555556E-3</v>
      </c>
    </row>
    <row r="8" spans="1:6" ht="22" customHeight="1" x14ac:dyDescent="0.2">
      <c r="A8" s="28">
        <v>6</v>
      </c>
      <c r="B8" s="21" t="s">
        <v>92</v>
      </c>
      <c r="C8" s="22" t="s">
        <v>2</v>
      </c>
      <c r="D8" s="22" t="s">
        <v>3</v>
      </c>
      <c r="E8" s="21" t="s">
        <v>36</v>
      </c>
      <c r="F8" s="31">
        <v>2.8587962962962963E-3</v>
      </c>
    </row>
    <row r="9" spans="1:6" ht="22" customHeight="1" x14ac:dyDescent="0.2">
      <c r="A9" s="28">
        <v>7</v>
      </c>
      <c r="B9" s="21" t="s">
        <v>44</v>
      </c>
      <c r="C9" s="22" t="s">
        <v>2</v>
      </c>
      <c r="D9" s="22" t="s">
        <v>3</v>
      </c>
      <c r="E9" s="21" t="s">
        <v>31</v>
      </c>
      <c r="F9" s="31">
        <v>3.414351851851852E-3</v>
      </c>
    </row>
    <row r="10" spans="1:6" ht="22" customHeight="1" x14ac:dyDescent="0.2">
      <c r="A10" s="28">
        <v>8</v>
      </c>
      <c r="B10" s="21" t="s">
        <v>91</v>
      </c>
      <c r="C10" s="22" t="s">
        <v>2</v>
      </c>
      <c r="D10" s="22" t="s">
        <v>3</v>
      </c>
      <c r="E10" s="21" t="s">
        <v>48</v>
      </c>
      <c r="F10" s="31">
        <v>3.0439814814814817E-3</v>
      </c>
    </row>
    <row r="11" spans="1:6" ht="22" customHeight="1" x14ac:dyDescent="0.2">
      <c r="A11" s="28">
        <v>9</v>
      </c>
      <c r="B11" s="21" t="s">
        <v>96</v>
      </c>
      <c r="C11" s="22" t="s">
        <v>2</v>
      </c>
      <c r="D11" s="22" t="s">
        <v>3</v>
      </c>
      <c r="E11" s="21" t="s">
        <v>39</v>
      </c>
      <c r="F11" s="31">
        <v>3.5995370370370369E-3</v>
      </c>
    </row>
    <row r="12" spans="1:6" ht="22" customHeight="1" x14ac:dyDescent="0.2">
      <c r="A12" s="28">
        <v>10</v>
      </c>
      <c r="B12" s="21" t="s">
        <v>65</v>
      </c>
      <c r="C12" s="22" t="s">
        <v>2</v>
      </c>
      <c r="D12" s="22" t="s">
        <v>3</v>
      </c>
      <c r="E12" s="21" t="s">
        <v>31</v>
      </c>
      <c r="F12" s="31">
        <v>2.7893518518518519E-3</v>
      </c>
    </row>
    <row r="13" spans="1:6" ht="22" customHeight="1" x14ac:dyDescent="0.2">
      <c r="A13" s="28">
        <v>11</v>
      </c>
      <c r="B13" s="21" t="s">
        <v>108</v>
      </c>
      <c r="C13" s="22" t="s">
        <v>2</v>
      </c>
      <c r="D13" s="22" t="s">
        <v>3</v>
      </c>
      <c r="E13" s="21" t="s">
        <v>36</v>
      </c>
      <c r="F13" s="31">
        <v>3.3680555555555556E-3</v>
      </c>
    </row>
    <row r="14" spans="1:6" ht="22" customHeight="1" x14ac:dyDescent="0.2">
      <c r="A14" s="28">
        <v>12</v>
      </c>
      <c r="B14" s="21" t="s">
        <v>256</v>
      </c>
      <c r="C14" s="22" t="s">
        <v>2</v>
      </c>
      <c r="D14" s="22" t="s">
        <v>3</v>
      </c>
      <c r="E14" s="21" t="s">
        <v>39</v>
      </c>
      <c r="F14" s="31">
        <v>2.5810185185185185E-3</v>
      </c>
    </row>
    <row r="15" spans="1:6" ht="22" customHeight="1" x14ac:dyDescent="0.2">
      <c r="A15" s="28">
        <v>13</v>
      </c>
      <c r="B15" s="21" t="s">
        <v>110</v>
      </c>
      <c r="C15" s="22" t="s">
        <v>2</v>
      </c>
      <c r="D15" s="22" t="s">
        <v>3</v>
      </c>
      <c r="E15" s="21" t="s">
        <v>36</v>
      </c>
      <c r="F15" s="31">
        <v>2.6041666666666665E-3</v>
      </c>
    </row>
    <row r="16" spans="1:6" ht="22" customHeight="1" x14ac:dyDescent="0.2">
      <c r="A16" s="28">
        <v>14</v>
      </c>
      <c r="B16" s="21" t="s">
        <v>55</v>
      </c>
      <c r="C16" s="22" t="s">
        <v>2</v>
      </c>
      <c r="D16" s="22" t="s">
        <v>3</v>
      </c>
      <c r="E16" s="21" t="s">
        <v>39</v>
      </c>
      <c r="F16" s="31">
        <v>2.7430555555555554E-3</v>
      </c>
    </row>
    <row r="17" spans="1:6" ht="22" customHeight="1" x14ac:dyDescent="0.2">
      <c r="A17" s="28">
        <v>15</v>
      </c>
      <c r="B17" s="21" t="s">
        <v>129</v>
      </c>
      <c r="C17" s="22" t="s">
        <v>2</v>
      </c>
      <c r="D17" s="22" t="s">
        <v>3</v>
      </c>
      <c r="E17" s="21" t="s">
        <v>31</v>
      </c>
      <c r="F17" s="31">
        <v>2.0949074074074073E-3</v>
      </c>
    </row>
    <row r="18" spans="1:6" ht="22" customHeight="1" x14ac:dyDescent="0.2">
      <c r="A18" s="28">
        <v>16</v>
      </c>
      <c r="B18" s="21" t="s">
        <v>125</v>
      </c>
      <c r="C18" s="22" t="s">
        <v>2</v>
      </c>
      <c r="D18" s="22" t="s">
        <v>3</v>
      </c>
      <c r="E18" s="21" t="s">
        <v>36</v>
      </c>
      <c r="F18" s="31">
        <v>3.3217592592592595E-3</v>
      </c>
    </row>
    <row r="19" spans="1:6" ht="17" customHeight="1" x14ac:dyDescent="0.2">
      <c r="A19" s="92" t="s">
        <v>257</v>
      </c>
      <c r="B19" s="93"/>
      <c r="C19" s="93"/>
      <c r="D19" s="93"/>
      <c r="E19" s="93"/>
      <c r="F19" s="96"/>
    </row>
    <row r="20" spans="1:6" ht="22" customHeight="1" x14ac:dyDescent="0.2">
      <c r="A20" s="28">
        <v>17</v>
      </c>
      <c r="B20" s="21" t="s">
        <v>41</v>
      </c>
      <c r="C20" s="22" t="s">
        <v>2</v>
      </c>
      <c r="D20" s="22" t="s">
        <v>3</v>
      </c>
      <c r="E20" s="21" t="s">
        <v>39</v>
      </c>
      <c r="F20" s="31">
        <v>2.7199074074074074E-3</v>
      </c>
    </row>
    <row r="21" spans="1:6" ht="17" customHeight="1" x14ac:dyDescent="0.2">
      <c r="A21" s="28">
        <v>18</v>
      </c>
      <c r="B21" s="21" t="s">
        <v>89</v>
      </c>
      <c r="C21" s="22" t="s">
        <v>2</v>
      </c>
      <c r="D21" s="22" t="s">
        <v>3</v>
      </c>
      <c r="E21" s="21" t="s">
        <v>31</v>
      </c>
      <c r="F21" s="31">
        <f>VLOOKUP(B21,'Song Tracker'!$A$3:$F$48,6,FALSE)</f>
        <v>2.650462962962963E-3</v>
      </c>
    </row>
    <row r="22" spans="1:6" ht="17" customHeight="1" x14ac:dyDescent="0.2">
      <c r="A22" s="28">
        <v>19</v>
      </c>
      <c r="B22" s="21" t="s">
        <v>67</v>
      </c>
      <c r="C22" s="22" t="s">
        <v>2</v>
      </c>
      <c r="D22" s="22" t="s">
        <v>3</v>
      </c>
      <c r="E22" s="21" t="s">
        <v>36</v>
      </c>
      <c r="F22" s="31">
        <v>2.488425925925926E-3</v>
      </c>
    </row>
    <row r="23" spans="1:6" ht="17" customHeight="1" x14ac:dyDescent="0.2">
      <c r="A23" s="28">
        <v>20</v>
      </c>
      <c r="B23" s="23" t="s">
        <v>87</v>
      </c>
      <c r="C23" s="22" t="s">
        <v>2</v>
      </c>
      <c r="D23" s="22" t="s">
        <v>3</v>
      </c>
      <c r="E23" s="21" t="s">
        <v>48</v>
      </c>
      <c r="F23" s="31">
        <v>1.9791666666666668E-3</v>
      </c>
    </row>
    <row r="24" spans="1:6" ht="17" customHeight="1" x14ac:dyDescent="0.2">
      <c r="A24" s="28">
        <v>21</v>
      </c>
      <c r="B24" s="23" t="s">
        <v>122</v>
      </c>
      <c r="C24" s="22" t="s">
        <v>2</v>
      </c>
      <c r="D24" s="22" t="s">
        <v>3</v>
      </c>
      <c r="E24" s="21" t="s">
        <v>31</v>
      </c>
      <c r="F24" s="32">
        <f>VLOOKUP(B24,'Song Tracker'!$A$3:$F$48,6,FALSE)</f>
        <v>2.0833333333333333E-3</v>
      </c>
    </row>
    <row r="25" spans="1:6" ht="17" customHeight="1" x14ac:dyDescent="0.2">
      <c r="A25" s="28">
        <v>22</v>
      </c>
      <c r="B25" s="23" t="s">
        <v>99</v>
      </c>
      <c r="C25" s="22" t="s">
        <v>2</v>
      </c>
      <c r="D25" s="22" t="s">
        <v>3</v>
      </c>
      <c r="E25" s="21" t="s">
        <v>50</v>
      </c>
      <c r="F25" s="31">
        <v>3.2291666666666666E-3</v>
      </c>
    </row>
    <row r="26" spans="1:6" ht="17" customHeight="1" x14ac:dyDescent="0.2">
      <c r="A26" s="28">
        <v>23</v>
      </c>
      <c r="B26" s="23" t="s">
        <v>94</v>
      </c>
      <c r="C26" s="22" t="s">
        <v>2</v>
      </c>
      <c r="D26" s="22" t="s">
        <v>3</v>
      </c>
      <c r="E26" s="21" t="s">
        <v>36</v>
      </c>
      <c r="F26" s="31">
        <v>2.0486111111111113E-3</v>
      </c>
    </row>
    <row r="27" spans="1:6" ht="17" customHeight="1" x14ac:dyDescent="0.2">
      <c r="A27" s="28">
        <v>24</v>
      </c>
      <c r="B27" s="23" t="s">
        <v>118</v>
      </c>
      <c r="C27" s="22" t="s">
        <v>2</v>
      </c>
      <c r="D27" s="22" t="s">
        <v>3</v>
      </c>
      <c r="E27" s="21" t="s">
        <v>36</v>
      </c>
      <c r="F27" s="31">
        <v>2.2569444444444442E-3</v>
      </c>
    </row>
    <row r="28" spans="1:6" ht="17" customHeight="1" x14ac:dyDescent="0.2">
      <c r="A28" s="28">
        <v>25</v>
      </c>
      <c r="B28" s="23" t="s">
        <v>76</v>
      </c>
      <c r="C28" s="22" t="s">
        <v>2</v>
      </c>
      <c r="D28" s="22" t="s">
        <v>3</v>
      </c>
      <c r="E28" s="21" t="s">
        <v>39</v>
      </c>
      <c r="F28" s="31">
        <v>4.6874999999999998E-3</v>
      </c>
    </row>
    <row r="29" spans="1:6" ht="17" customHeight="1" x14ac:dyDescent="0.2">
      <c r="A29" s="28">
        <v>26</v>
      </c>
      <c r="B29" s="23" t="s">
        <v>105</v>
      </c>
      <c r="C29" s="22" t="s">
        <v>2</v>
      </c>
      <c r="D29" s="22" t="s">
        <v>3</v>
      </c>
      <c r="E29" s="21" t="s">
        <v>31</v>
      </c>
      <c r="F29" s="31">
        <v>5.9606481481481481E-3</v>
      </c>
    </row>
    <row r="30" spans="1:6" ht="16" customHeight="1" x14ac:dyDescent="0.2">
      <c r="A30" s="29"/>
      <c r="B30" s="24"/>
      <c r="C30" s="25"/>
      <c r="D30" s="25"/>
      <c r="E30" s="24"/>
      <c r="F30" s="32"/>
    </row>
    <row r="31" spans="1:6" ht="17" customHeight="1" thickBot="1" x14ac:dyDescent="0.25">
      <c r="A31" s="30"/>
      <c r="B31" s="26" t="s">
        <v>253</v>
      </c>
      <c r="C31" s="27"/>
      <c r="D31" s="27"/>
      <c r="E31" s="26"/>
      <c r="F31" s="33">
        <f>SUM(F3:F30)</f>
        <v>7.5277777777777777E-2</v>
      </c>
    </row>
  </sheetData>
  <mergeCells count="2">
    <mergeCell ref="A1:F1"/>
    <mergeCell ref="A19:F19"/>
  </mergeCells>
  <conditionalFormatting sqref="A3:F18 A19 A20:F31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tabSelected="1" workbookViewId="0">
      <pane ySplit="2" topLeftCell="A3" activePane="bottomLeft" state="frozen"/>
      <selection pane="bottomLeft" activeCell="C3" sqref="C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">
      <c r="A1" s="98" t="s">
        <v>276</v>
      </c>
      <c r="B1" s="99"/>
      <c r="C1" s="99"/>
      <c r="D1" s="99"/>
      <c r="E1" s="99"/>
      <c r="F1" s="100"/>
    </row>
    <row r="2" spans="1:6" ht="22" customHeight="1" x14ac:dyDescent="0.2">
      <c r="A2" s="101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102" t="s">
        <v>6</v>
      </c>
    </row>
    <row r="3" spans="1:6" ht="22" customHeight="1" x14ac:dyDescent="0.2">
      <c r="A3" s="103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104">
        <v>2.1874999999999998E-3</v>
      </c>
    </row>
    <row r="4" spans="1:6" ht="22" customHeight="1" x14ac:dyDescent="0.2">
      <c r="A4" s="103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104">
        <v>2.9513888888888888E-3</v>
      </c>
    </row>
    <row r="5" spans="1:6" ht="22" customHeight="1" x14ac:dyDescent="0.2">
      <c r="A5" s="103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104">
        <v>2.6041666666666665E-3</v>
      </c>
    </row>
    <row r="6" spans="1:6" ht="22" customHeight="1" x14ac:dyDescent="0.2">
      <c r="A6" s="103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104">
        <v>2.5810185185185185E-3</v>
      </c>
    </row>
    <row r="7" spans="1:6" ht="22" customHeight="1" x14ac:dyDescent="0.2">
      <c r="A7" s="103">
        <v>5</v>
      </c>
      <c r="B7" s="45" t="s">
        <v>72</v>
      </c>
      <c r="C7" s="58" t="s">
        <v>2</v>
      </c>
      <c r="D7" s="58" t="s">
        <v>3</v>
      </c>
      <c r="E7" s="45" t="s">
        <v>31</v>
      </c>
      <c r="F7" s="104">
        <v>2.4305555555555556E-3</v>
      </c>
    </row>
    <row r="8" spans="1:6" ht="22" customHeight="1" x14ac:dyDescent="0.2">
      <c r="A8" s="103">
        <v>6</v>
      </c>
      <c r="B8" s="45" t="s">
        <v>92</v>
      </c>
      <c r="C8" s="58" t="s">
        <v>2</v>
      </c>
      <c r="D8" s="58" t="s">
        <v>3</v>
      </c>
      <c r="E8" s="45" t="s">
        <v>36</v>
      </c>
      <c r="F8" s="104">
        <v>2.8587962962962963E-3</v>
      </c>
    </row>
    <row r="9" spans="1:6" ht="22" customHeight="1" x14ac:dyDescent="0.2">
      <c r="A9" s="103">
        <v>7</v>
      </c>
      <c r="B9" s="45" t="s">
        <v>44</v>
      </c>
      <c r="C9" s="58" t="s">
        <v>2</v>
      </c>
      <c r="D9" s="58" t="s">
        <v>3</v>
      </c>
      <c r="E9" s="45" t="s">
        <v>31</v>
      </c>
      <c r="F9" s="104">
        <v>3.414351851851852E-3</v>
      </c>
    </row>
    <row r="10" spans="1:6" ht="22" customHeight="1" x14ac:dyDescent="0.2">
      <c r="A10" s="103">
        <v>8</v>
      </c>
      <c r="B10" s="45" t="s">
        <v>84</v>
      </c>
      <c r="C10" s="58" t="s">
        <v>2</v>
      </c>
      <c r="D10" s="58"/>
      <c r="E10" s="45" t="s">
        <v>36</v>
      </c>
      <c r="F10" s="104">
        <f>VLOOKUP(B10,'Song Tracker'!$A$3:$F$48,6,FALSE)</f>
        <v>3.8541666666666668E-3</v>
      </c>
    </row>
    <row r="11" spans="1:6" ht="22" customHeight="1" x14ac:dyDescent="0.2">
      <c r="A11" s="103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104">
        <v>3.5995370370370369E-3</v>
      </c>
    </row>
    <row r="12" spans="1:6" ht="22" customHeight="1" x14ac:dyDescent="0.2">
      <c r="A12" s="103">
        <v>10</v>
      </c>
      <c r="B12" s="45" t="s">
        <v>65</v>
      </c>
      <c r="C12" s="58" t="s">
        <v>2</v>
      </c>
      <c r="D12" s="58" t="s">
        <v>3</v>
      </c>
      <c r="E12" s="45" t="s">
        <v>31</v>
      </c>
      <c r="F12" s="104">
        <v>2.7893518518518519E-3</v>
      </c>
    </row>
    <row r="13" spans="1:6" ht="22" customHeight="1" x14ac:dyDescent="0.2">
      <c r="A13" s="103">
        <v>11</v>
      </c>
      <c r="B13" s="45" t="s">
        <v>108</v>
      </c>
      <c r="C13" s="58" t="s">
        <v>2</v>
      </c>
      <c r="D13" s="58" t="s">
        <v>3</v>
      </c>
      <c r="E13" s="45" t="s">
        <v>36</v>
      </c>
      <c r="F13" s="104">
        <v>3.3680555555555556E-3</v>
      </c>
    </row>
    <row r="14" spans="1:6" ht="22" customHeight="1" x14ac:dyDescent="0.2">
      <c r="A14" s="103">
        <v>12</v>
      </c>
      <c r="B14" s="45" t="s">
        <v>256</v>
      </c>
      <c r="C14" s="58" t="s">
        <v>2</v>
      </c>
      <c r="D14" s="58" t="s">
        <v>3</v>
      </c>
      <c r="E14" s="45" t="s">
        <v>39</v>
      </c>
      <c r="F14" s="104">
        <v>2.5810185185185185E-3</v>
      </c>
    </row>
    <row r="15" spans="1:6" ht="22" customHeight="1" x14ac:dyDescent="0.2">
      <c r="A15" s="103">
        <v>13</v>
      </c>
      <c r="B15" s="45" t="s">
        <v>110</v>
      </c>
      <c r="C15" s="58" t="s">
        <v>2</v>
      </c>
      <c r="D15" s="58" t="s">
        <v>3</v>
      </c>
      <c r="E15" s="45" t="s">
        <v>36</v>
      </c>
      <c r="F15" s="104">
        <v>2.6041666666666665E-3</v>
      </c>
    </row>
    <row r="16" spans="1:6" ht="22" customHeight="1" x14ac:dyDescent="0.2">
      <c r="A16" s="103">
        <v>14</v>
      </c>
      <c r="B16" s="45" t="s">
        <v>55</v>
      </c>
      <c r="C16" s="58" t="s">
        <v>2</v>
      </c>
      <c r="D16" s="58" t="s">
        <v>3</v>
      </c>
      <c r="E16" s="45" t="s">
        <v>39</v>
      </c>
      <c r="F16" s="104">
        <v>2.7430555555555554E-3</v>
      </c>
    </row>
    <row r="17" spans="1:6" ht="22" customHeight="1" x14ac:dyDescent="0.2">
      <c r="A17" s="103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104">
        <v>2.0949074074074073E-3</v>
      </c>
    </row>
    <row r="18" spans="1:6" ht="22" customHeight="1" x14ac:dyDescent="0.2">
      <c r="A18" s="103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104">
        <v>3.3217592592592595E-3</v>
      </c>
    </row>
    <row r="19" spans="1:6" x14ac:dyDescent="0.2">
      <c r="A19" s="105"/>
      <c r="B19" s="44"/>
      <c r="C19" s="51"/>
      <c r="D19" s="51"/>
      <c r="E19" s="44"/>
      <c r="F19" s="106"/>
    </row>
    <row r="20" spans="1:6" ht="22" customHeight="1" thickBot="1" x14ac:dyDescent="0.25">
      <c r="A20" s="107"/>
      <c r="B20" s="108" t="s">
        <v>253</v>
      </c>
      <c r="C20" s="109"/>
      <c r="D20" s="109"/>
      <c r="E20" s="108"/>
      <c r="F20" s="110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258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 t="s">
        <v>259</v>
      </c>
      <c r="B3" s="45" t="s">
        <v>106</v>
      </c>
      <c r="C3" s="58" t="s">
        <v>2</v>
      </c>
      <c r="D3" s="58" t="s">
        <v>3</v>
      </c>
      <c r="E3" s="45" t="s">
        <v>36</v>
      </c>
      <c r="F3" s="95">
        <f>VLOOKUP(B3,'Song Tracker'!$A$3:$F$48,6,FALSE)</f>
        <v>2.4305555555555556E-3</v>
      </c>
    </row>
    <row r="4" spans="1:6" ht="22" customHeight="1" x14ac:dyDescent="0.2">
      <c r="A4" s="60">
        <v>1</v>
      </c>
      <c r="B4" s="45" t="s">
        <v>49</v>
      </c>
      <c r="C4" s="58" t="s">
        <v>2</v>
      </c>
      <c r="D4" s="58" t="s">
        <v>3</v>
      </c>
      <c r="E4" s="45" t="s">
        <v>50</v>
      </c>
      <c r="F4" s="95">
        <v>2.1874999999999998E-3</v>
      </c>
    </row>
    <row r="5" spans="1:6" ht="22" customHeight="1" x14ac:dyDescent="0.2">
      <c r="A5" s="60">
        <v>2</v>
      </c>
      <c r="B5" s="45" t="s">
        <v>101</v>
      </c>
      <c r="C5" s="58" t="s">
        <v>2</v>
      </c>
      <c r="D5" s="58" t="s">
        <v>3</v>
      </c>
      <c r="E5" s="45" t="s">
        <v>39</v>
      </c>
      <c r="F5" s="95">
        <v>2.9513888888888888E-3</v>
      </c>
    </row>
    <row r="6" spans="1:6" ht="22" customHeight="1" x14ac:dyDescent="0.2">
      <c r="A6" s="60">
        <v>3</v>
      </c>
      <c r="B6" s="45" t="s">
        <v>74</v>
      </c>
      <c r="C6" s="58" t="s">
        <v>2</v>
      </c>
      <c r="D6" s="58" t="s">
        <v>3</v>
      </c>
      <c r="E6" s="45" t="s">
        <v>36</v>
      </c>
      <c r="F6" s="95">
        <v>2.6041666666666665E-3</v>
      </c>
    </row>
    <row r="7" spans="1:6" ht="22" customHeight="1" x14ac:dyDescent="0.2">
      <c r="A7" s="60">
        <v>4</v>
      </c>
      <c r="B7" s="45" t="s">
        <v>80</v>
      </c>
      <c r="C7" s="58" t="s">
        <v>2</v>
      </c>
      <c r="D7" s="58" t="s">
        <v>3</v>
      </c>
      <c r="E7" s="45" t="s">
        <v>39</v>
      </c>
      <c r="F7" s="95">
        <v>2.5810185185185185E-3</v>
      </c>
    </row>
    <row r="8" spans="1:6" ht="22" customHeight="1" x14ac:dyDescent="0.2">
      <c r="A8" s="60">
        <v>5</v>
      </c>
      <c r="B8" s="45" t="s">
        <v>72</v>
      </c>
      <c r="C8" s="58" t="s">
        <v>2</v>
      </c>
      <c r="D8" s="58" t="s">
        <v>3</v>
      </c>
      <c r="E8" s="45" t="s">
        <v>31</v>
      </c>
      <c r="F8" s="95">
        <v>2.4305555555555556E-3</v>
      </c>
    </row>
    <row r="9" spans="1:6" ht="22" customHeight="1" x14ac:dyDescent="0.2">
      <c r="A9" s="60">
        <v>6</v>
      </c>
      <c r="B9" s="45" t="s">
        <v>92</v>
      </c>
      <c r="C9" s="58" t="s">
        <v>2</v>
      </c>
      <c r="D9" s="58" t="s">
        <v>3</v>
      </c>
      <c r="E9" s="45" t="s">
        <v>36</v>
      </c>
      <c r="F9" s="95">
        <v>2.8587962962962963E-3</v>
      </c>
    </row>
    <row r="10" spans="1:6" ht="22" customHeight="1" x14ac:dyDescent="0.2">
      <c r="A10" s="60">
        <v>7</v>
      </c>
      <c r="B10" s="45" t="s">
        <v>44</v>
      </c>
      <c r="C10" s="58" t="s">
        <v>2</v>
      </c>
      <c r="D10" s="58" t="s">
        <v>3</v>
      </c>
      <c r="E10" s="45" t="s">
        <v>31</v>
      </c>
      <c r="F10" s="95">
        <v>3.414351851851852E-3</v>
      </c>
    </row>
    <row r="11" spans="1:6" ht="22" customHeight="1" x14ac:dyDescent="0.2">
      <c r="A11" s="60"/>
      <c r="B11" s="45"/>
      <c r="C11" s="58"/>
      <c r="D11" s="58"/>
      <c r="E11" s="45"/>
      <c r="F11" s="95"/>
    </row>
    <row r="12" spans="1:6" ht="22" customHeight="1" x14ac:dyDescent="0.2">
      <c r="A12" s="60">
        <v>9</v>
      </c>
      <c r="B12" s="45" t="s">
        <v>96</v>
      </c>
      <c r="C12" s="58" t="s">
        <v>2</v>
      </c>
      <c r="D12" s="58" t="s">
        <v>3</v>
      </c>
      <c r="E12" s="45" t="s">
        <v>39</v>
      </c>
      <c r="F12" s="95">
        <v>3.5995370370370369E-3</v>
      </c>
    </row>
    <row r="13" spans="1:6" ht="22" customHeight="1" x14ac:dyDescent="0.2">
      <c r="A13" s="60">
        <v>10</v>
      </c>
      <c r="B13" s="45" t="s">
        <v>65</v>
      </c>
      <c r="C13" s="58" t="s">
        <v>2</v>
      </c>
      <c r="D13" s="58" t="s">
        <v>3</v>
      </c>
      <c r="E13" s="45" t="s">
        <v>31</v>
      </c>
      <c r="F13" s="95">
        <v>2.7893518518518519E-3</v>
      </c>
    </row>
    <row r="14" spans="1:6" ht="22" customHeight="1" x14ac:dyDescent="0.2">
      <c r="A14" s="60">
        <v>11</v>
      </c>
      <c r="B14" s="45" t="s">
        <v>108</v>
      </c>
      <c r="C14" s="58" t="s">
        <v>2</v>
      </c>
      <c r="D14" s="58" t="s">
        <v>3</v>
      </c>
      <c r="E14" s="45" t="s">
        <v>36</v>
      </c>
      <c r="F14" s="95">
        <v>3.3680555555555556E-3</v>
      </c>
    </row>
    <row r="15" spans="1:6" ht="22" customHeight="1" x14ac:dyDescent="0.2">
      <c r="A15" s="60">
        <v>12</v>
      </c>
      <c r="B15" s="45" t="s">
        <v>256</v>
      </c>
      <c r="C15" s="58" t="s">
        <v>2</v>
      </c>
      <c r="D15" s="58" t="s">
        <v>3</v>
      </c>
      <c r="E15" s="45" t="s">
        <v>39</v>
      </c>
      <c r="F15" s="95">
        <v>2.5810185185185185E-3</v>
      </c>
    </row>
    <row r="16" spans="1:6" ht="22" customHeight="1" x14ac:dyDescent="0.2">
      <c r="A16" s="60">
        <v>13</v>
      </c>
      <c r="B16" s="45" t="s">
        <v>110</v>
      </c>
      <c r="C16" s="58" t="s">
        <v>2</v>
      </c>
      <c r="D16" s="58" t="s">
        <v>3</v>
      </c>
      <c r="E16" s="45" t="s">
        <v>36</v>
      </c>
      <c r="F16" s="95">
        <v>2.6041666666666665E-3</v>
      </c>
    </row>
    <row r="17" spans="1:6" ht="22" customHeight="1" x14ac:dyDescent="0.2">
      <c r="A17" s="60">
        <v>14</v>
      </c>
      <c r="B17" s="45" t="s">
        <v>55</v>
      </c>
      <c r="C17" s="58" t="s">
        <v>2</v>
      </c>
      <c r="D17" s="58" t="s">
        <v>3</v>
      </c>
      <c r="E17" s="45" t="s">
        <v>39</v>
      </c>
      <c r="F17" s="95">
        <v>2.7430555555555554E-3</v>
      </c>
    </row>
    <row r="18" spans="1:6" ht="22" customHeight="1" x14ac:dyDescent="0.2">
      <c r="A18" s="60">
        <v>15</v>
      </c>
      <c r="B18" s="45" t="s">
        <v>129</v>
      </c>
      <c r="C18" s="58" t="s">
        <v>2</v>
      </c>
      <c r="D18" s="58" t="s">
        <v>3</v>
      </c>
      <c r="E18" s="45" t="s">
        <v>31</v>
      </c>
      <c r="F18" s="95">
        <v>2.0949074074074073E-3</v>
      </c>
    </row>
    <row r="19" spans="1:6" ht="22" customHeight="1" x14ac:dyDescent="0.2">
      <c r="A19" s="60">
        <v>16</v>
      </c>
      <c r="B19" s="45" t="s">
        <v>125</v>
      </c>
      <c r="C19" s="58" t="s">
        <v>2</v>
      </c>
      <c r="D19" s="58" t="s">
        <v>3</v>
      </c>
      <c r="E19" s="45" t="s">
        <v>36</v>
      </c>
      <c r="F19" s="95">
        <v>3.3217592592592595E-3</v>
      </c>
    </row>
    <row r="20" spans="1:6" x14ac:dyDescent="0.2">
      <c r="A20" s="49"/>
      <c r="B20" s="44"/>
      <c r="C20" s="51"/>
      <c r="D20" s="51"/>
      <c r="E20" s="44"/>
      <c r="F20" s="97"/>
    </row>
    <row r="21" spans="1:6" ht="22" customHeight="1" thickBot="1" x14ac:dyDescent="0.25">
      <c r="A21" s="54"/>
      <c r="B21" s="55" t="s">
        <v>253</v>
      </c>
      <c r="C21" s="56"/>
      <c r="D21" s="56"/>
      <c r="E21" s="55"/>
      <c r="F21" s="57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5">
        <v>2.9513888888888888E-3</v>
      </c>
    </row>
    <row r="5" spans="1:6" ht="22" customHeight="1" x14ac:dyDescent="0.2">
      <c r="A5" s="60">
        <v>3</v>
      </c>
      <c r="B5" s="45" t="s">
        <v>74</v>
      </c>
      <c r="C5" s="58" t="s">
        <v>2</v>
      </c>
      <c r="D5" s="58" t="s">
        <v>3</v>
      </c>
      <c r="E5" s="45" t="s">
        <v>36</v>
      </c>
      <c r="F5" s="95">
        <v>2.6041666666666665E-3</v>
      </c>
    </row>
    <row r="6" spans="1:6" ht="22" customHeight="1" x14ac:dyDescent="0.2">
      <c r="A6" s="60">
        <v>4</v>
      </c>
      <c r="B6" s="45" t="s">
        <v>80</v>
      </c>
      <c r="C6" s="58" t="s">
        <v>2</v>
      </c>
      <c r="D6" s="58" t="s">
        <v>3</v>
      </c>
      <c r="E6" s="45" t="s">
        <v>39</v>
      </c>
      <c r="F6" s="95">
        <v>2.5810185185185185E-3</v>
      </c>
    </row>
    <row r="7" spans="1:6" ht="22" customHeight="1" x14ac:dyDescent="0.2">
      <c r="A7" s="60">
        <v>5</v>
      </c>
      <c r="B7" s="45" t="s">
        <v>44</v>
      </c>
      <c r="C7" s="58" t="s">
        <v>2</v>
      </c>
      <c r="D7" s="58" t="s">
        <v>3</v>
      </c>
      <c r="E7" s="45" t="s">
        <v>31</v>
      </c>
      <c r="F7" s="95">
        <v>3.414351851851852E-3</v>
      </c>
    </row>
    <row r="8" spans="1:6" ht="22" customHeight="1" x14ac:dyDescent="0.2">
      <c r="A8" s="60">
        <v>6</v>
      </c>
      <c r="B8" s="45" t="s">
        <v>87</v>
      </c>
      <c r="C8" s="58" t="s">
        <v>2</v>
      </c>
      <c r="D8" s="58" t="s">
        <v>3</v>
      </c>
      <c r="E8" s="45" t="s">
        <v>48</v>
      </c>
      <c r="F8" s="95">
        <v>1.9791666666666668E-3</v>
      </c>
    </row>
    <row r="9" spans="1:6" ht="22" customHeight="1" x14ac:dyDescent="0.2">
      <c r="A9" s="60">
        <v>7</v>
      </c>
      <c r="B9" s="45" t="s">
        <v>96</v>
      </c>
      <c r="C9" s="58" t="s">
        <v>2</v>
      </c>
      <c r="D9" s="58" t="s">
        <v>3</v>
      </c>
      <c r="E9" s="45" t="s">
        <v>39</v>
      </c>
      <c r="F9" s="95">
        <v>3.5995370370370369E-3</v>
      </c>
    </row>
    <row r="10" spans="1:6" ht="22" customHeight="1" x14ac:dyDescent="0.2">
      <c r="A10" s="60">
        <v>8</v>
      </c>
      <c r="B10" s="45" t="s">
        <v>110</v>
      </c>
      <c r="C10" s="58" t="s">
        <v>2</v>
      </c>
      <c r="D10" s="58" t="s">
        <v>3</v>
      </c>
      <c r="E10" s="45" t="s">
        <v>36</v>
      </c>
      <c r="F10" s="95">
        <v>2.6041666666666665E-3</v>
      </c>
    </row>
    <row r="11" spans="1:6" ht="22" customHeight="1" x14ac:dyDescent="0.2">
      <c r="A11" s="60">
        <v>9</v>
      </c>
      <c r="B11" s="45" t="s">
        <v>55</v>
      </c>
      <c r="C11" s="58" t="s">
        <v>2</v>
      </c>
      <c r="D11" s="58" t="s">
        <v>3</v>
      </c>
      <c r="E11" s="45" t="s">
        <v>39</v>
      </c>
      <c r="F11" s="95">
        <v>2.7430555555555554E-3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95">
        <v>3.3217592592592595E-3</v>
      </c>
    </row>
    <row r="13" spans="1:6" x14ac:dyDescent="0.2">
      <c r="A13" s="49"/>
      <c r="B13" s="44"/>
      <c r="C13" s="51"/>
      <c r="D13" s="51"/>
      <c r="E13" s="44"/>
      <c r="F13" s="97"/>
    </row>
    <row r="14" spans="1:6" ht="22" customHeight="1" thickBot="1" x14ac:dyDescent="0.25">
      <c r="A14" s="54"/>
      <c r="B14" s="55" t="s">
        <v>253</v>
      </c>
      <c r="C14" s="56"/>
      <c r="D14" s="56"/>
      <c r="E14" s="55"/>
      <c r="F14" s="57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261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95">
        <v>2.488425925925926E-3</v>
      </c>
    </row>
    <row r="5" spans="1:6" ht="22" customHeight="1" x14ac:dyDescent="0.2">
      <c r="A5" s="60">
        <v>3</v>
      </c>
      <c r="B5" s="45" t="s">
        <v>99</v>
      </c>
      <c r="C5" s="58" t="s">
        <v>2</v>
      </c>
      <c r="D5" s="58" t="s">
        <v>3</v>
      </c>
      <c r="E5" s="45" t="s">
        <v>50</v>
      </c>
      <c r="F5" s="95">
        <v>3.2291666666666666E-3</v>
      </c>
    </row>
    <row r="6" spans="1:6" ht="22" customHeight="1" x14ac:dyDescent="0.2">
      <c r="A6" s="60">
        <v>4</v>
      </c>
      <c r="B6" s="45" t="s">
        <v>87</v>
      </c>
      <c r="C6" s="58" t="s">
        <v>2</v>
      </c>
      <c r="D6" s="58" t="s">
        <v>3</v>
      </c>
      <c r="E6" s="45" t="s">
        <v>48</v>
      </c>
      <c r="F6" s="95">
        <v>1.9791666666666668E-3</v>
      </c>
    </row>
    <row r="7" spans="1:6" ht="22" customHeight="1" x14ac:dyDescent="0.2">
      <c r="A7" s="60">
        <v>5</v>
      </c>
      <c r="B7" s="45" t="s">
        <v>91</v>
      </c>
      <c r="C7" s="58" t="s">
        <v>2</v>
      </c>
      <c r="D7" s="58" t="s">
        <v>3</v>
      </c>
      <c r="E7" s="45" t="s">
        <v>48</v>
      </c>
      <c r="F7" s="95">
        <v>3.0439814814814817E-3</v>
      </c>
    </row>
    <row r="8" spans="1:6" ht="22" customHeight="1" x14ac:dyDescent="0.2">
      <c r="A8" s="60">
        <v>6</v>
      </c>
      <c r="B8" s="45" t="s">
        <v>55</v>
      </c>
      <c r="C8" s="58" t="s">
        <v>2</v>
      </c>
      <c r="D8" s="58" t="s">
        <v>3</v>
      </c>
      <c r="E8" s="45" t="s">
        <v>39</v>
      </c>
      <c r="F8" s="95">
        <v>2.7430555555555554E-3</v>
      </c>
    </row>
    <row r="9" spans="1:6" ht="22" customHeight="1" x14ac:dyDescent="0.2">
      <c r="A9" s="60">
        <v>7</v>
      </c>
      <c r="B9" s="45" t="s">
        <v>80</v>
      </c>
      <c r="C9" s="58" t="s">
        <v>2</v>
      </c>
      <c r="D9" s="58" t="s">
        <v>3</v>
      </c>
      <c r="E9" s="45" t="s">
        <v>39</v>
      </c>
      <c r="F9" s="95">
        <v>2.5810185185185185E-3</v>
      </c>
    </row>
    <row r="10" spans="1:6" ht="22" customHeight="1" x14ac:dyDescent="0.2">
      <c r="A10" s="60">
        <v>8</v>
      </c>
      <c r="B10" s="45" t="s">
        <v>74</v>
      </c>
      <c r="C10" s="58" t="s">
        <v>2</v>
      </c>
      <c r="D10" s="58" t="s">
        <v>3</v>
      </c>
      <c r="E10" s="45" t="s">
        <v>36</v>
      </c>
      <c r="F10" s="95">
        <v>2.6041666666666665E-3</v>
      </c>
    </row>
    <row r="11" spans="1:6" ht="22" customHeight="1" x14ac:dyDescent="0.2">
      <c r="A11" s="60">
        <v>9</v>
      </c>
      <c r="B11" s="45" t="s">
        <v>69</v>
      </c>
      <c r="C11" s="58" t="s">
        <v>2</v>
      </c>
      <c r="D11" s="58" t="s">
        <v>3</v>
      </c>
      <c r="E11" s="45" t="s">
        <v>39</v>
      </c>
      <c r="F11" s="95">
        <v>1.9328703703703704E-3</v>
      </c>
    </row>
    <row r="12" spans="1:6" ht="22" customHeight="1" x14ac:dyDescent="0.2">
      <c r="A12" s="60">
        <v>10</v>
      </c>
      <c r="B12" s="45" t="s">
        <v>116</v>
      </c>
      <c r="C12" s="58" t="s">
        <v>2</v>
      </c>
      <c r="D12" s="58" t="s">
        <v>3</v>
      </c>
      <c r="E12" s="45" t="s">
        <v>36</v>
      </c>
      <c r="F12" s="95">
        <v>3.4606481481481485E-3</v>
      </c>
    </row>
    <row r="13" spans="1:6" ht="22" customHeight="1" x14ac:dyDescent="0.2">
      <c r="A13" s="60">
        <v>11</v>
      </c>
      <c r="B13" s="45" t="s">
        <v>96</v>
      </c>
      <c r="C13" s="58" t="s">
        <v>2</v>
      </c>
      <c r="D13" s="58" t="s">
        <v>3</v>
      </c>
      <c r="E13" s="45" t="s">
        <v>39</v>
      </c>
      <c r="F13" s="95">
        <v>3.5995370370370369E-3</v>
      </c>
    </row>
    <row r="14" spans="1:6" ht="22" customHeight="1" x14ac:dyDescent="0.2">
      <c r="A14" s="60">
        <v>12</v>
      </c>
      <c r="B14" s="45" t="s">
        <v>108</v>
      </c>
      <c r="C14" s="58" t="s">
        <v>2</v>
      </c>
      <c r="D14" s="58" t="s">
        <v>3</v>
      </c>
      <c r="E14" s="45" t="s">
        <v>36</v>
      </c>
      <c r="F14" s="95">
        <v>3.3680555555555556E-3</v>
      </c>
    </row>
    <row r="15" spans="1:6" ht="22" customHeight="1" x14ac:dyDescent="0.2">
      <c r="A15" s="60">
        <v>13</v>
      </c>
      <c r="B15" s="45" t="s">
        <v>65</v>
      </c>
      <c r="C15" s="58" t="s">
        <v>2</v>
      </c>
      <c r="D15" s="58" t="s">
        <v>3</v>
      </c>
      <c r="E15" s="45" t="s">
        <v>31</v>
      </c>
      <c r="F15" s="95">
        <v>2.7893518518518519E-3</v>
      </c>
    </row>
    <row r="16" spans="1:6" ht="22" customHeight="1" x14ac:dyDescent="0.2">
      <c r="A16" s="60">
        <v>14</v>
      </c>
      <c r="B16" s="45" t="s">
        <v>110</v>
      </c>
      <c r="C16" s="58" t="s">
        <v>2</v>
      </c>
      <c r="D16" s="58" t="s">
        <v>3</v>
      </c>
      <c r="E16" s="45" t="s">
        <v>36</v>
      </c>
      <c r="F16" s="95">
        <v>2.6041666666666665E-3</v>
      </c>
    </row>
    <row r="17" spans="1:6" ht="22" customHeight="1" x14ac:dyDescent="0.2">
      <c r="A17" s="60">
        <v>15</v>
      </c>
      <c r="B17" s="45" t="s">
        <v>129</v>
      </c>
      <c r="C17" s="58" t="s">
        <v>2</v>
      </c>
      <c r="D17" s="58" t="s">
        <v>3</v>
      </c>
      <c r="E17" s="45" t="s">
        <v>31</v>
      </c>
      <c r="F17" s="95">
        <v>2.0949074074074073E-3</v>
      </c>
    </row>
    <row r="18" spans="1:6" ht="22" customHeight="1" x14ac:dyDescent="0.2">
      <c r="A18" s="60">
        <v>16</v>
      </c>
      <c r="B18" s="45" t="s">
        <v>125</v>
      </c>
      <c r="C18" s="58" t="s">
        <v>2</v>
      </c>
      <c r="D18" s="58" t="s">
        <v>3</v>
      </c>
      <c r="E18" s="45" t="s">
        <v>36</v>
      </c>
      <c r="F18" s="95">
        <v>3.3217592592592595E-3</v>
      </c>
    </row>
    <row r="19" spans="1:6" ht="22" customHeight="1" x14ac:dyDescent="0.2">
      <c r="A19" s="60">
        <v>17</v>
      </c>
      <c r="B19" s="45" t="s">
        <v>118</v>
      </c>
      <c r="C19" s="58" t="s">
        <v>2</v>
      </c>
      <c r="D19" s="58" t="s">
        <v>3</v>
      </c>
      <c r="E19" s="45" t="s">
        <v>36</v>
      </c>
      <c r="F19" s="95">
        <v>2.2569444444444442E-3</v>
      </c>
    </row>
    <row r="20" spans="1:6" ht="22" customHeight="1" x14ac:dyDescent="0.2">
      <c r="A20" s="60">
        <v>18</v>
      </c>
      <c r="B20" s="45" t="s">
        <v>44</v>
      </c>
      <c r="C20" s="58" t="s">
        <v>2</v>
      </c>
      <c r="D20" s="58" t="s">
        <v>3</v>
      </c>
      <c r="E20" s="45" t="s">
        <v>31</v>
      </c>
      <c r="F20" s="95">
        <v>3.414351851851852E-3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95">
        <v>2.9513888888888888E-3</v>
      </c>
    </row>
    <row r="22" spans="1:6" ht="22" customHeight="1" x14ac:dyDescent="0.2">
      <c r="A22" s="60">
        <v>20</v>
      </c>
      <c r="B22" s="45" t="s">
        <v>256</v>
      </c>
      <c r="C22" s="58" t="s">
        <v>2</v>
      </c>
      <c r="D22" s="58" t="s">
        <v>3</v>
      </c>
      <c r="E22" s="45" t="s">
        <v>39</v>
      </c>
      <c r="F22" s="95">
        <v>2.5810185185185185E-3</v>
      </c>
    </row>
    <row r="23" spans="1:6" ht="22" customHeight="1" x14ac:dyDescent="0.2">
      <c r="A23" s="60">
        <v>21</v>
      </c>
      <c r="B23" s="45" t="s">
        <v>84</v>
      </c>
      <c r="C23" s="58" t="s">
        <v>2</v>
      </c>
      <c r="D23" s="59"/>
      <c r="E23" s="45" t="s">
        <v>36</v>
      </c>
      <c r="F23" s="95">
        <v>3.8541666666666663E-3</v>
      </c>
    </row>
    <row r="24" spans="1:6" ht="22" customHeight="1" x14ac:dyDescent="0.2">
      <c r="A24" s="60">
        <v>22</v>
      </c>
      <c r="B24" s="45" t="s">
        <v>103</v>
      </c>
      <c r="C24" s="58" t="s">
        <v>2</v>
      </c>
      <c r="D24" s="58" t="s">
        <v>3</v>
      </c>
      <c r="E24" s="45" t="s">
        <v>31</v>
      </c>
      <c r="F24" s="95">
        <v>4.1319444444444442E-3</v>
      </c>
    </row>
    <row r="25" spans="1:6" ht="22" customHeight="1" x14ac:dyDescent="0.2">
      <c r="A25" s="60">
        <v>23</v>
      </c>
      <c r="B25" s="45" t="s">
        <v>94</v>
      </c>
      <c r="C25" s="58" t="s">
        <v>2</v>
      </c>
      <c r="D25" s="58" t="s">
        <v>3</v>
      </c>
      <c r="E25" s="45" t="s">
        <v>36</v>
      </c>
      <c r="F25" s="95">
        <v>2.0486111111111113E-3</v>
      </c>
    </row>
    <row r="26" spans="1:6" ht="22" customHeight="1" x14ac:dyDescent="0.2">
      <c r="A26" s="60">
        <v>24</v>
      </c>
      <c r="B26" s="45" t="s">
        <v>76</v>
      </c>
      <c r="C26" s="58" t="s">
        <v>2</v>
      </c>
      <c r="D26" s="58" t="s">
        <v>3</v>
      </c>
      <c r="E26" s="45" t="s">
        <v>39</v>
      </c>
      <c r="F26" s="95">
        <v>4.6874999999999998E-3</v>
      </c>
    </row>
    <row r="27" spans="1:6" ht="22" customHeight="1" x14ac:dyDescent="0.2">
      <c r="A27" s="60">
        <v>25</v>
      </c>
      <c r="B27" s="45" t="s">
        <v>46</v>
      </c>
      <c r="C27" s="58" t="s">
        <v>2</v>
      </c>
      <c r="D27" s="58" t="s">
        <v>3</v>
      </c>
      <c r="E27" s="45" t="s">
        <v>48</v>
      </c>
      <c r="F27" s="95">
        <v>1.7476851851851852E-3</v>
      </c>
    </row>
    <row r="28" spans="1:6" ht="22" customHeight="1" x14ac:dyDescent="0.2">
      <c r="A28" s="60">
        <v>26</v>
      </c>
      <c r="B28" s="45" t="s">
        <v>41</v>
      </c>
      <c r="C28" s="58" t="s">
        <v>2</v>
      </c>
      <c r="D28" s="58" t="s">
        <v>3</v>
      </c>
      <c r="E28" s="45" t="s">
        <v>39</v>
      </c>
      <c r="F28" s="95">
        <v>2.7199074074074074E-3</v>
      </c>
    </row>
    <row r="29" spans="1:6" ht="22" customHeight="1" x14ac:dyDescent="0.2">
      <c r="A29" s="60">
        <v>27</v>
      </c>
      <c r="B29" s="45" t="s">
        <v>92</v>
      </c>
      <c r="C29" s="58" t="s">
        <v>2</v>
      </c>
      <c r="D29" s="58" t="s">
        <v>3</v>
      </c>
      <c r="E29" s="45" t="s">
        <v>36</v>
      </c>
      <c r="F29" s="95">
        <v>2.8587962962962963E-3</v>
      </c>
    </row>
    <row r="30" spans="1:6" ht="22" customHeight="1" x14ac:dyDescent="0.2">
      <c r="A30" s="60">
        <v>28</v>
      </c>
      <c r="B30" s="45" t="s">
        <v>82</v>
      </c>
      <c r="C30" s="59"/>
      <c r="D30" s="58" t="s">
        <v>3</v>
      </c>
      <c r="E30" s="45" t="s">
        <v>39</v>
      </c>
      <c r="F30" s="95">
        <f>VLOOKUP(B30,'Song Tracker'!$A$3:$F$48,6,FALSE)</f>
        <v>2.6041666666666665E-3</v>
      </c>
    </row>
    <row r="31" spans="1:6" ht="22" customHeight="1" x14ac:dyDescent="0.2">
      <c r="A31" s="60">
        <v>29</v>
      </c>
      <c r="B31" s="45" t="s">
        <v>105</v>
      </c>
      <c r="C31" s="58" t="s">
        <v>2</v>
      </c>
      <c r="D31" s="58" t="s">
        <v>3</v>
      </c>
      <c r="E31" s="45" t="s">
        <v>31</v>
      </c>
      <c r="F31" s="95">
        <v>5.9606481481481481E-3</v>
      </c>
    </row>
    <row r="32" spans="1:6" ht="22" customHeight="1" x14ac:dyDescent="0.2">
      <c r="A32" s="60">
        <v>30</v>
      </c>
      <c r="B32" s="45" t="s">
        <v>72</v>
      </c>
      <c r="C32" s="58" t="s">
        <v>2</v>
      </c>
      <c r="D32" s="58" t="s">
        <v>3</v>
      </c>
      <c r="E32" s="45" t="s">
        <v>31</v>
      </c>
      <c r="F32" s="95">
        <v>2.4305555555555556E-3</v>
      </c>
    </row>
    <row r="33" spans="1:6" ht="22" customHeight="1" x14ac:dyDescent="0.2">
      <c r="A33" s="60">
        <v>31</v>
      </c>
      <c r="B33" s="45" t="s">
        <v>120</v>
      </c>
      <c r="C33" s="58" t="s">
        <v>2</v>
      </c>
      <c r="D33" s="58" t="s">
        <v>3</v>
      </c>
      <c r="E33" s="45" t="s">
        <v>36</v>
      </c>
      <c r="F33" s="95">
        <f>VLOOKUP(B33,'Song Tracker'!$A$3:$F$48,6,FALSE)</f>
        <v>3.472222222222222E-3</v>
      </c>
    </row>
    <row r="34" spans="1:6" ht="22" customHeight="1" x14ac:dyDescent="0.2">
      <c r="A34" s="49"/>
      <c r="B34" s="44"/>
      <c r="C34" s="51"/>
      <c r="D34" s="51"/>
      <c r="E34" s="44"/>
      <c r="F34" s="97"/>
    </row>
    <row r="35" spans="1:6" ht="22" customHeight="1" thickBot="1" x14ac:dyDescent="0.25">
      <c r="A35" s="54"/>
      <c r="B35" s="55" t="s">
        <v>253</v>
      </c>
      <c r="C35" s="56"/>
      <c r="D35" s="56"/>
      <c r="E35" s="55"/>
      <c r="F35" s="57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262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92</v>
      </c>
      <c r="C3" s="58" t="s">
        <v>2</v>
      </c>
      <c r="D3" s="58" t="s">
        <v>3</v>
      </c>
      <c r="E3" s="45" t="s">
        <v>36</v>
      </c>
      <c r="F3" s="95">
        <v>2.8587962962962963E-3</v>
      </c>
    </row>
    <row r="4" spans="1:6" ht="22" customHeight="1" x14ac:dyDescent="0.2">
      <c r="A4" s="60">
        <v>2</v>
      </c>
      <c r="B4" s="45" t="s">
        <v>49</v>
      </c>
      <c r="C4" s="58" t="s">
        <v>2</v>
      </c>
      <c r="D4" s="58" t="s">
        <v>3</v>
      </c>
      <c r="E4" s="45" t="s">
        <v>50</v>
      </c>
      <c r="F4" s="95">
        <v>2.1874999999999998E-3</v>
      </c>
    </row>
    <row r="5" spans="1:6" ht="22" customHeight="1" x14ac:dyDescent="0.2">
      <c r="A5" s="60">
        <v>3</v>
      </c>
      <c r="B5" s="45" t="s">
        <v>41</v>
      </c>
      <c r="C5" s="58" t="s">
        <v>2</v>
      </c>
      <c r="D5" s="58" t="s">
        <v>3</v>
      </c>
      <c r="E5" s="45" t="s">
        <v>39</v>
      </c>
      <c r="F5" s="95">
        <v>2.7199074074074074E-3</v>
      </c>
    </row>
    <row r="6" spans="1:6" ht="22" customHeight="1" x14ac:dyDescent="0.2">
      <c r="A6" s="60">
        <v>4</v>
      </c>
      <c r="B6" s="45" t="s">
        <v>108</v>
      </c>
      <c r="C6" s="58" t="s">
        <v>2</v>
      </c>
      <c r="D6" s="58" t="s">
        <v>3</v>
      </c>
      <c r="E6" s="45" t="s">
        <v>36</v>
      </c>
      <c r="F6" s="95">
        <v>3.3680555555555556E-3</v>
      </c>
    </row>
    <row r="7" spans="1:6" ht="22" customHeight="1" x14ac:dyDescent="0.2">
      <c r="A7" s="60">
        <v>5</v>
      </c>
      <c r="B7" s="45" t="s">
        <v>115</v>
      </c>
      <c r="C7" s="58" t="s">
        <v>2</v>
      </c>
      <c r="D7" s="58" t="s">
        <v>3</v>
      </c>
      <c r="E7" s="45" t="s">
        <v>31</v>
      </c>
      <c r="F7" s="95">
        <f>VLOOKUP(B7,'Song Tracker'!$A$3:$F$48,6,FALSE)</f>
        <v>2.0023148148148148E-3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95">
        <v>2.9513888888888888E-3</v>
      </c>
    </row>
    <row r="9" spans="1:6" ht="22" customHeight="1" x14ac:dyDescent="0.2">
      <c r="A9" s="60">
        <v>7</v>
      </c>
      <c r="B9" s="45" t="s">
        <v>118</v>
      </c>
      <c r="C9" s="58" t="s">
        <v>2</v>
      </c>
      <c r="D9" s="58" t="s">
        <v>3</v>
      </c>
      <c r="E9" s="45" t="s">
        <v>36</v>
      </c>
      <c r="F9" s="95">
        <v>2.2569444444444442E-3</v>
      </c>
    </row>
    <row r="10" spans="1:6" ht="22" customHeight="1" x14ac:dyDescent="0.2">
      <c r="A10" s="60">
        <v>8</v>
      </c>
      <c r="B10" s="45" t="s">
        <v>72</v>
      </c>
      <c r="C10" s="58" t="s">
        <v>2</v>
      </c>
      <c r="D10" s="58" t="s">
        <v>3</v>
      </c>
      <c r="E10" s="45" t="s">
        <v>31</v>
      </c>
      <c r="F10" s="95">
        <v>2.4305555555555556E-3</v>
      </c>
    </row>
    <row r="11" spans="1:6" ht="22" customHeight="1" x14ac:dyDescent="0.2">
      <c r="A11" s="60">
        <v>9</v>
      </c>
      <c r="B11" s="45" t="s">
        <v>96</v>
      </c>
      <c r="C11" s="58" t="s">
        <v>2</v>
      </c>
      <c r="D11" s="58" t="s">
        <v>3</v>
      </c>
      <c r="E11" s="45" t="s">
        <v>39</v>
      </c>
      <c r="F11" s="95">
        <v>3.5995370370370369E-3</v>
      </c>
    </row>
    <row r="12" spans="1:6" ht="22" customHeight="1" x14ac:dyDescent="0.2">
      <c r="A12" s="60">
        <v>10</v>
      </c>
      <c r="B12" s="45" t="s">
        <v>122</v>
      </c>
      <c r="C12" s="58" t="s">
        <v>2</v>
      </c>
      <c r="D12" s="58" t="s">
        <v>3</v>
      </c>
      <c r="E12" s="45" t="s">
        <v>31</v>
      </c>
      <c r="F12" s="95">
        <f>VLOOKUP(B12,'Song Tracker'!$A$3:$F$48,6,FALSE)</f>
        <v>2.0833333333333333E-3</v>
      </c>
    </row>
    <row r="13" spans="1:6" ht="22" customHeight="1" x14ac:dyDescent="0.2">
      <c r="A13" s="60">
        <v>11</v>
      </c>
      <c r="B13" s="45" t="s">
        <v>55</v>
      </c>
      <c r="C13" s="58" t="s">
        <v>2</v>
      </c>
      <c r="D13" s="58" t="s">
        <v>3</v>
      </c>
      <c r="E13" s="45" t="s">
        <v>39</v>
      </c>
      <c r="F13" s="95">
        <v>2.7430555555555554E-3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95">
        <v>2.0486111111111113E-3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5">
        <v>3.3217592592592595E-3</v>
      </c>
    </row>
    <row r="16" spans="1:6" x14ac:dyDescent="0.2">
      <c r="A16" s="49"/>
      <c r="B16" s="44"/>
      <c r="C16" s="51"/>
      <c r="D16" s="51"/>
      <c r="E16" s="44"/>
      <c r="F16" s="97"/>
    </row>
    <row r="17" spans="1:6" ht="22" customHeight="1" thickBot="1" x14ac:dyDescent="0.25">
      <c r="A17" s="54"/>
      <c r="B17" s="55" t="s">
        <v>253</v>
      </c>
      <c r="C17" s="56"/>
      <c r="D17" s="56"/>
      <c r="E17" s="55"/>
      <c r="F17" s="57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263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5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5">
        <v>2.9513888888888888E-3</v>
      </c>
    </row>
    <row r="6" spans="1:6" ht="22" customHeight="1" x14ac:dyDescent="0.2">
      <c r="A6" s="60">
        <v>5</v>
      </c>
      <c r="B6" s="45" t="s">
        <v>108</v>
      </c>
      <c r="C6" s="58" t="s">
        <v>2</v>
      </c>
      <c r="D6" s="58" t="s">
        <v>3</v>
      </c>
      <c r="E6" s="45" t="s">
        <v>36</v>
      </c>
      <c r="F6" s="95">
        <v>3.3680555555555556E-3</v>
      </c>
    </row>
    <row r="7" spans="1:6" ht="22" customHeight="1" x14ac:dyDescent="0.2">
      <c r="A7" s="60">
        <v>6</v>
      </c>
      <c r="B7" s="45" t="s">
        <v>28</v>
      </c>
      <c r="C7" s="59"/>
      <c r="D7" s="59"/>
      <c r="E7" s="45" t="s">
        <v>31</v>
      </c>
      <c r="F7" s="95">
        <f>VLOOKUP(B7,'Song Tracker'!$A$3:$F$48,6,FALSE)</f>
        <v>2.7662037037037039E-3</v>
      </c>
    </row>
    <row r="8" spans="1:6" ht="22" customHeight="1" x14ac:dyDescent="0.2">
      <c r="A8" s="60">
        <v>7</v>
      </c>
      <c r="B8" s="45" t="s">
        <v>72</v>
      </c>
      <c r="C8" s="58" t="s">
        <v>2</v>
      </c>
      <c r="D8" s="58" t="s">
        <v>3</v>
      </c>
      <c r="E8" s="45" t="s">
        <v>31</v>
      </c>
      <c r="F8" s="95">
        <v>2.4305555555555556E-3</v>
      </c>
    </row>
    <row r="9" spans="1:6" ht="22" customHeight="1" x14ac:dyDescent="0.2">
      <c r="A9" s="60">
        <v>8</v>
      </c>
      <c r="B9" s="45" t="s">
        <v>129</v>
      </c>
      <c r="C9" s="58" t="s">
        <v>2</v>
      </c>
      <c r="D9" s="58" t="s">
        <v>3</v>
      </c>
      <c r="E9" s="45" t="s">
        <v>31</v>
      </c>
      <c r="F9" s="95">
        <v>2.0949074074074073E-3</v>
      </c>
    </row>
    <row r="10" spans="1:6" ht="22" customHeight="1" x14ac:dyDescent="0.2">
      <c r="A10" s="60">
        <v>9</v>
      </c>
      <c r="B10" s="45" t="s">
        <v>65</v>
      </c>
      <c r="C10" s="58" t="s">
        <v>2</v>
      </c>
      <c r="D10" s="58" t="s">
        <v>3</v>
      </c>
      <c r="E10" s="45" t="s">
        <v>31</v>
      </c>
      <c r="F10" s="95">
        <v>2.7893518518518519E-3</v>
      </c>
    </row>
    <row r="11" spans="1:6" ht="22" customHeight="1" x14ac:dyDescent="0.2">
      <c r="A11" s="60">
        <v>10</v>
      </c>
      <c r="B11" s="45" t="s">
        <v>96</v>
      </c>
      <c r="C11" s="58" t="s">
        <v>2</v>
      </c>
      <c r="D11" s="58" t="s">
        <v>3</v>
      </c>
      <c r="E11" s="45" t="s">
        <v>39</v>
      </c>
      <c r="F11" s="95">
        <v>3.5995370370370369E-3</v>
      </c>
    </row>
    <row r="12" spans="1:6" ht="22" customHeight="1" x14ac:dyDescent="0.2">
      <c r="A12" s="60">
        <v>11</v>
      </c>
      <c r="B12" s="45" t="s">
        <v>82</v>
      </c>
      <c r="C12" s="59"/>
      <c r="D12" s="58" t="s">
        <v>3</v>
      </c>
      <c r="E12" s="45" t="s">
        <v>39</v>
      </c>
      <c r="F12" s="95">
        <f>VLOOKUP(B12,'Song Tracker'!$A$3:$F$48,6,FALSE)</f>
        <v>2.6041666666666665E-3</v>
      </c>
    </row>
    <row r="13" spans="1:6" ht="22" customHeight="1" x14ac:dyDescent="0.2">
      <c r="A13" s="60">
        <v>12</v>
      </c>
      <c r="B13" s="45" t="s">
        <v>103</v>
      </c>
      <c r="C13" s="58" t="s">
        <v>2</v>
      </c>
      <c r="D13" s="58" t="s">
        <v>3</v>
      </c>
      <c r="E13" s="45" t="s">
        <v>31</v>
      </c>
      <c r="F13" s="95">
        <v>4.1319444444444442E-3</v>
      </c>
    </row>
    <row r="14" spans="1:6" ht="22" customHeight="1" x14ac:dyDescent="0.2">
      <c r="A14" s="60">
        <v>13</v>
      </c>
      <c r="B14" s="45" t="s">
        <v>122</v>
      </c>
      <c r="C14" s="58" t="s">
        <v>2</v>
      </c>
      <c r="D14" s="58" t="s">
        <v>3</v>
      </c>
      <c r="E14" s="45" t="s">
        <v>31</v>
      </c>
      <c r="F14" s="95">
        <f>VLOOKUP(B14,'Song Tracker'!$A$3:$F$48,6,FALSE)</f>
        <v>2.0833333333333333E-3</v>
      </c>
    </row>
    <row r="15" spans="1:6" ht="22" customHeight="1" x14ac:dyDescent="0.2">
      <c r="A15" s="60">
        <v>14</v>
      </c>
      <c r="B15" s="45" t="s">
        <v>125</v>
      </c>
      <c r="C15" s="58" t="s">
        <v>2</v>
      </c>
      <c r="D15" s="58" t="s">
        <v>3</v>
      </c>
      <c r="E15" s="45" t="s">
        <v>36</v>
      </c>
      <c r="F15" s="95">
        <v>3.3217592592592595E-3</v>
      </c>
    </row>
    <row r="16" spans="1:6" ht="22" customHeight="1" x14ac:dyDescent="0.2">
      <c r="A16" s="60">
        <v>15</v>
      </c>
      <c r="B16" s="45" t="s">
        <v>126</v>
      </c>
      <c r="C16" s="59"/>
      <c r="D16" s="59"/>
      <c r="E16" s="45" t="s">
        <v>128</v>
      </c>
      <c r="F16" s="95"/>
    </row>
    <row r="17" spans="1:6" x14ac:dyDescent="0.2">
      <c r="A17" s="49"/>
      <c r="B17" s="44"/>
      <c r="C17" s="51"/>
      <c r="D17" s="51"/>
      <c r="E17" s="44"/>
      <c r="F17" s="97"/>
    </row>
    <row r="18" spans="1:6" ht="22" customHeight="1" thickBot="1" x14ac:dyDescent="0.25">
      <c r="A18" s="54"/>
      <c r="B18" s="55" t="s">
        <v>253</v>
      </c>
      <c r="C18" s="56"/>
      <c r="D18" s="56"/>
      <c r="E18" s="55"/>
      <c r="F18" s="57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5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5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5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95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95">
        <v>3.4606481481481485E-3</v>
      </c>
    </row>
    <row r="9" spans="1:6" ht="22" customHeight="1" x14ac:dyDescent="0.2">
      <c r="A9" s="60">
        <v>7</v>
      </c>
      <c r="B9" s="45" t="s">
        <v>99</v>
      </c>
      <c r="C9" s="58" t="s">
        <v>2</v>
      </c>
      <c r="D9" s="58" t="s">
        <v>3</v>
      </c>
      <c r="E9" s="45" t="s">
        <v>50</v>
      </c>
      <c r="F9" s="95">
        <v>3.2291666666666666E-3</v>
      </c>
    </row>
    <row r="10" spans="1:6" ht="22" customHeight="1" x14ac:dyDescent="0.2">
      <c r="A10" s="60">
        <v>8</v>
      </c>
      <c r="B10" s="45" t="s">
        <v>28</v>
      </c>
      <c r="C10" s="59"/>
      <c r="D10" s="59"/>
      <c r="E10" s="45" t="s">
        <v>31</v>
      </c>
      <c r="F10" s="95">
        <f>VLOOKUP(B10,'Song Tracker'!$A$3:$F$48,6,FALSE)</f>
        <v>2.7662037037037039E-3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95">
        <v>2.4305555555555556E-3</v>
      </c>
    </row>
    <row r="12" spans="1:6" ht="22" customHeight="1" x14ac:dyDescent="0.2">
      <c r="A12" s="60">
        <v>10</v>
      </c>
      <c r="B12" s="45" t="s">
        <v>58</v>
      </c>
      <c r="C12" s="58" t="s">
        <v>2</v>
      </c>
      <c r="D12" s="58" t="s">
        <v>3</v>
      </c>
      <c r="E12" s="45" t="s">
        <v>61</v>
      </c>
      <c r="F12" s="95">
        <f>VLOOKUP(B12,'Song Tracker'!$A$3:$F$48,6,FALSE)</f>
        <v>2.3032407407407407E-3</v>
      </c>
    </row>
    <row r="13" spans="1:6" ht="22" customHeight="1" x14ac:dyDescent="0.2">
      <c r="A13" s="60">
        <v>11</v>
      </c>
      <c r="B13" s="45" t="s">
        <v>129</v>
      </c>
      <c r="C13" s="58" t="s">
        <v>2</v>
      </c>
      <c r="D13" s="58" t="s">
        <v>3</v>
      </c>
      <c r="E13" s="45" t="s">
        <v>31</v>
      </c>
      <c r="F13" s="95">
        <v>2.0949074074074073E-3</v>
      </c>
    </row>
    <row r="14" spans="1:6" ht="22" customHeight="1" x14ac:dyDescent="0.2">
      <c r="A14" s="60">
        <v>12</v>
      </c>
      <c r="B14" s="45" t="s">
        <v>94</v>
      </c>
      <c r="C14" s="58" t="s">
        <v>2</v>
      </c>
      <c r="D14" s="58" t="s">
        <v>3</v>
      </c>
      <c r="E14" s="45" t="s">
        <v>36</v>
      </c>
      <c r="F14" s="95">
        <v>2.0486111111111113E-3</v>
      </c>
    </row>
    <row r="15" spans="1:6" ht="22" customHeight="1" x14ac:dyDescent="0.2">
      <c r="A15" s="60">
        <v>13</v>
      </c>
      <c r="B15" s="45" t="s">
        <v>118</v>
      </c>
      <c r="C15" s="58" t="s">
        <v>2</v>
      </c>
      <c r="D15" s="58" t="s">
        <v>3</v>
      </c>
      <c r="E15" s="45" t="s">
        <v>36</v>
      </c>
      <c r="F15" s="95">
        <v>2.2569444444444442E-3</v>
      </c>
    </row>
    <row r="16" spans="1:6" ht="22" customHeight="1" x14ac:dyDescent="0.2">
      <c r="A16" s="60">
        <v>14</v>
      </c>
      <c r="B16" s="45" t="s">
        <v>65</v>
      </c>
      <c r="C16" s="58" t="s">
        <v>2</v>
      </c>
      <c r="D16" s="58" t="s">
        <v>3</v>
      </c>
      <c r="E16" s="45" t="s">
        <v>31</v>
      </c>
      <c r="F16" s="95">
        <v>2.7893518518518519E-3</v>
      </c>
    </row>
    <row r="17" spans="1:6" ht="22" customHeight="1" x14ac:dyDescent="0.2">
      <c r="A17" s="60">
        <v>15</v>
      </c>
      <c r="B17" s="45" t="s">
        <v>96</v>
      </c>
      <c r="C17" s="58" t="s">
        <v>2</v>
      </c>
      <c r="D17" s="58" t="s">
        <v>3</v>
      </c>
      <c r="E17" s="45" t="s">
        <v>39</v>
      </c>
      <c r="F17" s="95">
        <v>3.5995370370370369E-3</v>
      </c>
    </row>
    <row r="18" spans="1:6" ht="22" customHeight="1" x14ac:dyDescent="0.2">
      <c r="A18" s="60">
        <v>16</v>
      </c>
      <c r="B18" s="45" t="s">
        <v>67</v>
      </c>
      <c r="C18" s="58" t="s">
        <v>2</v>
      </c>
      <c r="D18" s="58" t="s">
        <v>3</v>
      </c>
      <c r="E18" s="45" t="s">
        <v>36</v>
      </c>
      <c r="F18" s="95">
        <v>2.488425925925926E-3</v>
      </c>
    </row>
    <row r="19" spans="1:6" ht="22" customHeight="1" x14ac:dyDescent="0.2">
      <c r="A19" s="60">
        <v>17</v>
      </c>
      <c r="B19" s="45" t="s">
        <v>82</v>
      </c>
      <c r="C19" s="59"/>
      <c r="D19" s="58" t="s">
        <v>3</v>
      </c>
      <c r="E19" s="45" t="s">
        <v>39</v>
      </c>
      <c r="F19" s="95">
        <f>VLOOKUP(B19,'Song Tracker'!$A$3:$F$48,6,FALSE)</f>
        <v>2.6041666666666665E-3</v>
      </c>
    </row>
    <row r="20" spans="1:6" ht="22" customHeight="1" x14ac:dyDescent="0.2">
      <c r="A20" s="60">
        <v>18</v>
      </c>
      <c r="B20" s="45" t="s">
        <v>87</v>
      </c>
      <c r="C20" s="58" t="s">
        <v>2</v>
      </c>
      <c r="D20" s="58" t="s">
        <v>3</v>
      </c>
      <c r="E20" s="45" t="s">
        <v>48</v>
      </c>
      <c r="F20" s="95">
        <v>1.9791666666666668E-3</v>
      </c>
    </row>
    <row r="21" spans="1:6" ht="22" customHeight="1" x14ac:dyDescent="0.2">
      <c r="A21" s="60">
        <v>19</v>
      </c>
      <c r="B21" s="45" t="s">
        <v>46</v>
      </c>
      <c r="C21" s="58" t="s">
        <v>2</v>
      </c>
      <c r="D21" s="58" t="s">
        <v>3</v>
      </c>
      <c r="E21" s="45" t="s">
        <v>48</v>
      </c>
      <c r="F21" s="95">
        <v>1.7476851851851852E-3</v>
      </c>
    </row>
    <row r="22" spans="1:6" ht="22" customHeight="1" x14ac:dyDescent="0.2">
      <c r="A22" s="60">
        <v>20</v>
      </c>
      <c r="B22" s="45" t="s">
        <v>256</v>
      </c>
      <c r="C22" s="58" t="s">
        <v>2</v>
      </c>
      <c r="D22" s="58" t="s">
        <v>3</v>
      </c>
      <c r="E22" s="45" t="s">
        <v>39</v>
      </c>
      <c r="F22" s="95">
        <v>2.5810185185185185E-3</v>
      </c>
    </row>
    <row r="23" spans="1:6" ht="22" customHeight="1" x14ac:dyDescent="0.2">
      <c r="A23" s="60">
        <v>21</v>
      </c>
      <c r="B23" s="45" t="s">
        <v>103</v>
      </c>
      <c r="C23" s="58" t="s">
        <v>2</v>
      </c>
      <c r="D23" s="58" t="s">
        <v>3</v>
      </c>
      <c r="E23" s="45" t="s">
        <v>31</v>
      </c>
      <c r="F23" s="95">
        <v>4.1319444444444442E-3</v>
      </c>
    </row>
    <row r="24" spans="1:6" ht="22" customHeight="1" x14ac:dyDescent="0.2">
      <c r="A24" s="60">
        <v>22</v>
      </c>
      <c r="B24" s="45" t="s">
        <v>84</v>
      </c>
      <c r="C24" s="58" t="s">
        <v>2</v>
      </c>
      <c r="D24" s="59"/>
      <c r="E24" s="45" t="s">
        <v>36</v>
      </c>
      <c r="F24" s="95">
        <v>3.8541666666666663E-3</v>
      </c>
    </row>
    <row r="25" spans="1:6" ht="22" customHeight="1" x14ac:dyDescent="0.2">
      <c r="A25" s="60">
        <v>23</v>
      </c>
      <c r="B25" s="45" t="s">
        <v>34</v>
      </c>
      <c r="C25" s="58" t="s">
        <v>2</v>
      </c>
      <c r="D25" s="58" t="s">
        <v>3</v>
      </c>
      <c r="E25" s="45" t="s">
        <v>36</v>
      </c>
      <c r="F25" s="95">
        <f>VLOOKUP(B25,'Song Tracker'!$A$3:$F$48,6,FALSE)</f>
        <v>3.9583333333333337E-3</v>
      </c>
    </row>
    <row r="26" spans="1:6" ht="22" customHeight="1" x14ac:dyDescent="0.2">
      <c r="A26" s="60">
        <v>24</v>
      </c>
      <c r="B26" s="45" t="s">
        <v>41</v>
      </c>
      <c r="C26" s="58" t="s">
        <v>2</v>
      </c>
      <c r="D26" s="58" t="s">
        <v>3</v>
      </c>
      <c r="E26" s="45" t="s">
        <v>39</v>
      </c>
      <c r="F26" s="95">
        <v>2.7199074074074074E-3</v>
      </c>
    </row>
    <row r="27" spans="1:6" ht="22" customHeight="1" x14ac:dyDescent="0.2">
      <c r="A27" s="60">
        <v>25</v>
      </c>
      <c r="B27" s="45" t="s">
        <v>122</v>
      </c>
      <c r="C27" s="58" t="s">
        <v>2</v>
      </c>
      <c r="D27" s="58" t="s">
        <v>3</v>
      </c>
      <c r="E27" s="45" t="s">
        <v>31</v>
      </c>
      <c r="F27" s="95">
        <f>VLOOKUP(B27,'Song Tracker'!$A$3:$F$48,6,FALSE)</f>
        <v>2.0833333333333333E-3</v>
      </c>
    </row>
    <row r="28" spans="1:6" ht="22" customHeight="1" x14ac:dyDescent="0.2">
      <c r="A28" s="60">
        <v>26</v>
      </c>
      <c r="B28" s="45" t="s">
        <v>76</v>
      </c>
      <c r="C28" s="58" t="s">
        <v>2</v>
      </c>
      <c r="D28" s="58" t="s">
        <v>3</v>
      </c>
      <c r="E28" s="45" t="s">
        <v>39</v>
      </c>
      <c r="F28" s="95">
        <v>4.6874999999999998E-3</v>
      </c>
    </row>
    <row r="29" spans="1:6" ht="22" customHeight="1" x14ac:dyDescent="0.2">
      <c r="A29" s="60">
        <v>27</v>
      </c>
      <c r="B29" s="45" t="s">
        <v>125</v>
      </c>
      <c r="C29" s="58" t="s">
        <v>2</v>
      </c>
      <c r="D29" s="58" t="s">
        <v>3</v>
      </c>
      <c r="E29" s="45" t="s">
        <v>36</v>
      </c>
      <c r="F29" s="95">
        <v>3.3217592592592595E-3</v>
      </c>
    </row>
    <row r="30" spans="1:6" ht="22" customHeight="1" x14ac:dyDescent="0.2">
      <c r="A30" s="60">
        <v>28</v>
      </c>
      <c r="B30" s="45" t="s">
        <v>105</v>
      </c>
      <c r="C30" s="58" t="s">
        <v>2</v>
      </c>
      <c r="D30" s="58" t="s">
        <v>3</v>
      </c>
      <c r="E30" s="45" t="s">
        <v>31</v>
      </c>
      <c r="F30" s="95">
        <v>5.9606481481481481E-3</v>
      </c>
    </row>
    <row r="31" spans="1:6" x14ac:dyDescent="0.2">
      <c r="A31" s="49"/>
      <c r="B31" s="44"/>
      <c r="C31" s="51"/>
      <c r="D31" s="51"/>
      <c r="E31" s="44"/>
      <c r="F31" s="97"/>
    </row>
    <row r="32" spans="1:6" ht="22" customHeight="1" thickBot="1" x14ac:dyDescent="0.25">
      <c r="A32" s="54"/>
      <c r="B32" s="55" t="s">
        <v>253</v>
      </c>
      <c r="C32" s="56"/>
      <c r="D32" s="56"/>
      <c r="E32" s="55"/>
      <c r="F32" s="57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265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5">
        <v>2.5810185185185185E-3</v>
      </c>
    </row>
    <row r="5" spans="1:6" ht="22" customHeight="1" x14ac:dyDescent="0.2">
      <c r="A5" s="60">
        <v>3</v>
      </c>
      <c r="B5" s="45" t="s">
        <v>101</v>
      </c>
      <c r="C5" s="58" t="s">
        <v>2</v>
      </c>
      <c r="D5" s="58" t="s">
        <v>3</v>
      </c>
      <c r="E5" s="45" t="s">
        <v>39</v>
      </c>
      <c r="F5" s="95">
        <v>2.9513888888888888E-3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5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108</v>
      </c>
      <c r="C7" s="58" t="s">
        <v>2</v>
      </c>
      <c r="D7" s="58" t="s">
        <v>3</v>
      </c>
      <c r="E7" s="45" t="s">
        <v>36</v>
      </c>
      <c r="F7" s="95">
        <v>3.3680555555555556E-3</v>
      </c>
    </row>
    <row r="8" spans="1:6" ht="22" customHeight="1" x14ac:dyDescent="0.2">
      <c r="A8" s="60">
        <v>6</v>
      </c>
      <c r="B8" s="45" t="s">
        <v>116</v>
      </c>
      <c r="C8" s="58" t="s">
        <v>2</v>
      </c>
      <c r="D8" s="58" t="s">
        <v>3</v>
      </c>
      <c r="E8" s="45" t="s">
        <v>36</v>
      </c>
      <c r="F8" s="95">
        <v>3.4606481481481485E-3</v>
      </c>
    </row>
    <row r="9" spans="1:6" ht="22" customHeight="1" x14ac:dyDescent="0.2">
      <c r="A9" s="60">
        <v>7</v>
      </c>
      <c r="B9" s="45" t="s">
        <v>58</v>
      </c>
      <c r="C9" s="58" t="s">
        <v>2</v>
      </c>
      <c r="D9" s="58" t="s">
        <v>3</v>
      </c>
      <c r="E9" s="45" t="s">
        <v>61</v>
      </c>
      <c r="F9" s="95">
        <f>VLOOKUP(B9,'Song Tracker'!$A$3:$F$48,6,FALSE)</f>
        <v>2.3032407407407407E-3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5">
        <v>2.0486111111111113E-3</v>
      </c>
    </row>
    <row r="11" spans="1:6" ht="22" customHeight="1" x14ac:dyDescent="0.2">
      <c r="A11" s="60">
        <v>9</v>
      </c>
      <c r="B11" s="45" t="s">
        <v>72</v>
      </c>
      <c r="C11" s="58" t="s">
        <v>2</v>
      </c>
      <c r="D11" s="58" t="s">
        <v>3</v>
      </c>
      <c r="E11" s="45" t="s">
        <v>31</v>
      </c>
      <c r="F11" s="95">
        <v>2.4305555555555556E-3</v>
      </c>
    </row>
    <row r="12" spans="1:6" ht="22" customHeight="1" x14ac:dyDescent="0.2">
      <c r="A12" s="60">
        <v>10</v>
      </c>
      <c r="B12" s="45" t="s">
        <v>118</v>
      </c>
      <c r="C12" s="58" t="s">
        <v>2</v>
      </c>
      <c r="D12" s="58" t="s">
        <v>3</v>
      </c>
      <c r="E12" s="45" t="s">
        <v>36</v>
      </c>
      <c r="F12" s="95">
        <v>2.2569444444444442E-3</v>
      </c>
    </row>
    <row r="13" spans="1:6" ht="22" customHeight="1" x14ac:dyDescent="0.2">
      <c r="A13" s="60">
        <v>11</v>
      </c>
      <c r="B13" s="45" t="s">
        <v>65</v>
      </c>
      <c r="C13" s="58" t="s">
        <v>2</v>
      </c>
      <c r="D13" s="58" t="s">
        <v>3</v>
      </c>
      <c r="E13" s="45" t="s">
        <v>31</v>
      </c>
      <c r="F13" s="95">
        <v>2.7893518518518519E-3</v>
      </c>
    </row>
    <row r="14" spans="1:6" ht="22" customHeight="1" x14ac:dyDescent="0.2">
      <c r="A14" s="60">
        <v>12</v>
      </c>
      <c r="B14" s="45" t="s">
        <v>96</v>
      </c>
      <c r="C14" s="58" t="s">
        <v>2</v>
      </c>
      <c r="D14" s="58" t="s">
        <v>3</v>
      </c>
      <c r="E14" s="45" t="s">
        <v>39</v>
      </c>
      <c r="F14" s="95">
        <v>3.5995370370370369E-3</v>
      </c>
    </row>
    <row r="15" spans="1:6" ht="22" customHeight="1" x14ac:dyDescent="0.2">
      <c r="A15" s="60">
        <v>13</v>
      </c>
      <c r="B15" s="45" t="s">
        <v>82</v>
      </c>
      <c r="C15" s="59"/>
      <c r="D15" s="58" t="s">
        <v>3</v>
      </c>
      <c r="E15" s="45" t="s">
        <v>39</v>
      </c>
      <c r="F15" s="95">
        <f>VLOOKUP(B15,'Song Tracker'!$A$3:$F$48,6,FALSE)</f>
        <v>2.6041666666666665E-3</v>
      </c>
    </row>
    <row r="16" spans="1:6" ht="22" customHeight="1" x14ac:dyDescent="0.2">
      <c r="A16" s="60">
        <v>14</v>
      </c>
      <c r="B16" s="45" t="s">
        <v>87</v>
      </c>
      <c r="C16" s="58" t="s">
        <v>2</v>
      </c>
      <c r="D16" s="58" t="s">
        <v>3</v>
      </c>
      <c r="E16" s="45" t="s">
        <v>48</v>
      </c>
      <c r="F16" s="95">
        <v>1.9791666666666668E-3</v>
      </c>
    </row>
    <row r="17" spans="1:6" ht="22" customHeight="1" x14ac:dyDescent="0.2">
      <c r="A17" s="60">
        <v>15</v>
      </c>
      <c r="B17" s="45" t="s">
        <v>46</v>
      </c>
      <c r="C17" s="58" t="s">
        <v>2</v>
      </c>
      <c r="D17" s="58" t="s">
        <v>3</v>
      </c>
      <c r="E17" s="45" t="s">
        <v>48</v>
      </c>
      <c r="F17" s="95">
        <v>1.7476851851851852E-3</v>
      </c>
    </row>
    <row r="18" spans="1:6" ht="22" customHeight="1" x14ac:dyDescent="0.2">
      <c r="A18" s="60">
        <v>16</v>
      </c>
      <c r="B18" s="45" t="s">
        <v>103</v>
      </c>
      <c r="C18" s="58" t="s">
        <v>2</v>
      </c>
      <c r="D18" s="58" t="s">
        <v>3</v>
      </c>
      <c r="E18" s="45" t="s">
        <v>31</v>
      </c>
      <c r="F18" s="95">
        <v>4.1319444444444442E-3</v>
      </c>
    </row>
    <row r="19" spans="1:6" ht="22" customHeight="1" x14ac:dyDescent="0.2">
      <c r="A19" s="60">
        <v>17</v>
      </c>
      <c r="B19" s="45" t="s">
        <v>84</v>
      </c>
      <c r="C19" s="58" t="s">
        <v>2</v>
      </c>
      <c r="D19" s="59"/>
      <c r="E19" s="45" t="s">
        <v>36</v>
      </c>
      <c r="F19" s="95">
        <v>3.8541666666666663E-3</v>
      </c>
    </row>
    <row r="20" spans="1:6" ht="22" customHeight="1" x14ac:dyDescent="0.2">
      <c r="A20" s="60">
        <v>18</v>
      </c>
      <c r="B20" s="45" t="s">
        <v>76</v>
      </c>
      <c r="C20" s="58" t="s">
        <v>2</v>
      </c>
      <c r="D20" s="58" t="s">
        <v>3</v>
      </c>
      <c r="E20" s="45" t="s">
        <v>39</v>
      </c>
      <c r="F20" s="95">
        <v>4.6874999999999998E-3</v>
      </c>
    </row>
    <row r="21" spans="1:6" ht="22" customHeight="1" x14ac:dyDescent="0.2">
      <c r="A21" s="60">
        <v>19</v>
      </c>
      <c r="B21" s="45" t="s">
        <v>125</v>
      </c>
      <c r="C21" s="58" t="s">
        <v>2</v>
      </c>
      <c r="D21" s="58" t="s">
        <v>3</v>
      </c>
      <c r="E21" s="45" t="s">
        <v>36</v>
      </c>
      <c r="F21" s="95">
        <v>3.3217592592592595E-3</v>
      </c>
    </row>
    <row r="22" spans="1:6" ht="22" customHeight="1" x14ac:dyDescent="0.2">
      <c r="A22" s="60" t="s">
        <v>266</v>
      </c>
      <c r="B22" s="45" t="s">
        <v>105</v>
      </c>
      <c r="C22" s="58" t="s">
        <v>2</v>
      </c>
      <c r="D22" s="58" t="s">
        <v>3</v>
      </c>
      <c r="E22" s="45" t="s">
        <v>31</v>
      </c>
      <c r="F22" s="95">
        <v>5.9606481481481481E-3</v>
      </c>
    </row>
    <row r="23" spans="1:6" x14ac:dyDescent="0.2">
      <c r="A23" s="49"/>
      <c r="B23" s="44"/>
      <c r="C23" s="51"/>
      <c r="D23" s="51"/>
      <c r="E23" s="44"/>
      <c r="F23" s="97"/>
    </row>
    <row r="24" spans="1:6" ht="22" customHeight="1" thickBot="1" x14ac:dyDescent="0.25">
      <c r="A24" s="54"/>
      <c r="B24" s="55" t="s">
        <v>253</v>
      </c>
      <c r="C24" s="56"/>
      <c r="D24" s="56"/>
      <c r="E24" s="55"/>
      <c r="F24" s="57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267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122</v>
      </c>
      <c r="C3" s="58" t="s">
        <v>2</v>
      </c>
      <c r="D3" s="58" t="s">
        <v>3</v>
      </c>
      <c r="E3" s="45" t="s">
        <v>31</v>
      </c>
      <c r="F3" s="95">
        <f>VLOOKUP(B3,'Song Tracker'!$A$3:$F$48,6,FALSE)</f>
        <v>2.0833333333333333E-3</v>
      </c>
    </row>
    <row r="4" spans="1:6" ht="22" customHeight="1" x14ac:dyDescent="0.2">
      <c r="A4" s="60">
        <v>2</v>
      </c>
      <c r="B4" s="45" t="s">
        <v>101</v>
      </c>
      <c r="C4" s="58" t="s">
        <v>2</v>
      </c>
      <c r="D4" s="58" t="s">
        <v>3</v>
      </c>
      <c r="E4" s="45" t="s">
        <v>39</v>
      </c>
      <c r="F4" s="95">
        <v>2.9513888888888888E-3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95">
        <v>2.5810185185185185E-3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95">
        <v>3.5995370370370369E-3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95">
        <v>1.7476851851851852E-3</v>
      </c>
    </row>
    <row r="8" spans="1:6" ht="22" customHeight="1" x14ac:dyDescent="0.2">
      <c r="A8" s="60">
        <v>6</v>
      </c>
      <c r="B8" s="45" t="s">
        <v>108</v>
      </c>
      <c r="C8" s="58" t="s">
        <v>2</v>
      </c>
      <c r="D8" s="58" t="s">
        <v>3</v>
      </c>
      <c r="E8" s="45" t="s">
        <v>36</v>
      </c>
      <c r="F8" s="95">
        <v>3.3680555555555556E-3</v>
      </c>
    </row>
    <row r="9" spans="1:6" ht="22" customHeight="1" x14ac:dyDescent="0.2">
      <c r="A9" s="60">
        <v>7</v>
      </c>
      <c r="B9" s="45" t="s">
        <v>65</v>
      </c>
      <c r="C9" s="58" t="s">
        <v>2</v>
      </c>
      <c r="D9" s="58" t="s">
        <v>3</v>
      </c>
      <c r="E9" s="45" t="s">
        <v>31</v>
      </c>
      <c r="F9" s="95">
        <v>2.7893518518518519E-3</v>
      </c>
    </row>
    <row r="10" spans="1:6" ht="22" customHeight="1" x14ac:dyDescent="0.2">
      <c r="A10" s="60">
        <v>8</v>
      </c>
      <c r="B10" s="45" t="s">
        <v>82</v>
      </c>
      <c r="C10" s="59"/>
      <c r="D10" s="58" t="s">
        <v>3</v>
      </c>
      <c r="E10" s="45" t="s">
        <v>39</v>
      </c>
      <c r="F10" s="95">
        <f>VLOOKUP(B10,'Song Tracker'!$A$3:$F$48,6,FALSE)</f>
        <v>2.6041666666666665E-3</v>
      </c>
    </row>
    <row r="11" spans="1:6" ht="22" customHeight="1" x14ac:dyDescent="0.2">
      <c r="A11" s="60">
        <v>9</v>
      </c>
      <c r="B11" s="45" t="s">
        <v>49</v>
      </c>
      <c r="C11" s="58" t="s">
        <v>2</v>
      </c>
      <c r="D11" s="58" t="s">
        <v>3</v>
      </c>
      <c r="E11" s="45" t="s">
        <v>50</v>
      </c>
      <c r="F11" s="95">
        <v>2.1874999999999998E-3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95">
        <v>2.0486111111111113E-3</v>
      </c>
    </row>
    <row r="13" spans="1:6" ht="22" customHeight="1" x14ac:dyDescent="0.2">
      <c r="A13" s="60">
        <v>11</v>
      </c>
      <c r="B13" s="45" t="s">
        <v>118</v>
      </c>
      <c r="C13" s="58" t="s">
        <v>2</v>
      </c>
      <c r="D13" s="58" t="s">
        <v>3</v>
      </c>
      <c r="E13" s="45" t="s">
        <v>36</v>
      </c>
      <c r="F13" s="95">
        <v>2.2569444444444442E-3</v>
      </c>
    </row>
    <row r="14" spans="1:6" ht="22" customHeight="1" x14ac:dyDescent="0.2">
      <c r="A14" s="60">
        <v>12</v>
      </c>
      <c r="B14" s="45" t="s">
        <v>256</v>
      </c>
      <c r="C14" s="58" t="s">
        <v>2</v>
      </c>
      <c r="D14" s="58" t="s">
        <v>3</v>
      </c>
      <c r="E14" s="45" t="s">
        <v>39</v>
      </c>
      <c r="F14" s="95">
        <v>2.5810185185185185E-3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5">
        <v>3.3217592592592595E-3</v>
      </c>
    </row>
    <row r="16" spans="1:6" ht="22" customHeight="1" x14ac:dyDescent="0.2">
      <c r="A16" s="60" t="s">
        <v>268</v>
      </c>
      <c r="B16" s="45" t="s">
        <v>105</v>
      </c>
      <c r="C16" s="58" t="s">
        <v>2</v>
      </c>
      <c r="D16" s="58" t="s">
        <v>3</v>
      </c>
      <c r="E16" s="45" t="s">
        <v>31</v>
      </c>
      <c r="F16" s="95">
        <v>5.9606481481481481E-3</v>
      </c>
    </row>
    <row r="17" spans="1:6" x14ac:dyDescent="0.2">
      <c r="A17" s="49"/>
      <c r="B17" s="44"/>
      <c r="C17" s="51"/>
      <c r="D17" s="51"/>
      <c r="E17" s="44"/>
      <c r="F17" s="97"/>
    </row>
    <row r="18" spans="1:6" ht="22" customHeight="1" thickBot="1" x14ac:dyDescent="0.25">
      <c r="A18" s="54"/>
      <c r="B18" s="55" t="s">
        <v>253</v>
      </c>
      <c r="C18" s="56"/>
      <c r="D18" s="56"/>
      <c r="E18" s="55"/>
      <c r="F18" s="57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269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5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95">
        <v>1.9791666666666668E-3</v>
      </c>
    </row>
    <row r="6" spans="1:6" ht="22" customHeight="1" x14ac:dyDescent="0.2">
      <c r="A6" s="60">
        <v>4</v>
      </c>
      <c r="B6" s="45" t="s">
        <v>96</v>
      </c>
      <c r="C6" s="58" t="s">
        <v>2</v>
      </c>
      <c r="D6" s="58" t="s">
        <v>3</v>
      </c>
      <c r="E6" s="45" t="s">
        <v>39</v>
      </c>
      <c r="F6" s="95">
        <v>3.5995370370370369E-3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95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101</v>
      </c>
      <c r="C8" s="58" t="s">
        <v>2</v>
      </c>
      <c r="D8" s="58" t="s">
        <v>3</v>
      </c>
      <c r="E8" s="45" t="s">
        <v>39</v>
      </c>
      <c r="F8" s="95">
        <v>2.9513888888888888E-3</v>
      </c>
    </row>
    <row r="9" spans="1:6" ht="22" customHeight="1" x14ac:dyDescent="0.2">
      <c r="A9" s="60">
        <v>7</v>
      </c>
      <c r="B9" s="45" t="s">
        <v>84</v>
      </c>
      <c r="C9" s="58" t="s">
        <v>2</v>
      </c>
      <c r="D9" s="59"/>
      <c r="E9" s="45" t="s">
        <v>36</v>
      </c>
      <c r="F9" s="95">
        <v>3.8541666666666663E-3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5">
        <v>2.0486111111111113E-3</v>
      </c>
    </row>
    <row r="11" spans="1:6" ht="22" customHeight="1" x14ac:dyDescent="0.2">
      <c r="A11" s="60">
        <v>9</v>
      </c>
      <c r="B11" s="45" t="s">
        <v>82</v>
      </c>
      <c r="C11" s="59"/>
      <c r="D11" s="58" t="s">
        <v>3</v>
      </c>
      <c r="E11" s="45" t="s">
        <v>39</v>
      </c>
      <c r="F11" s="95">
        <f>VLOOKUP(B11,'Song Tracker'!$A$3:$F$48,6,FALSE)</f>
        <v>2.6041666666666665E-3</v>
      </c>
    </row>
    <row r="12" spans="1:6" ht="22" customHeight="1" x14ac:dyDescent="0.2">
      <c r="A12" s="60">
        <v>10</v>
      </c>
      <c r="B12" s="45" t="s">
        <v>46</v>
      </c>
      <c r="C12" s="58" t="s">
        <v>2</v>
      </c>
      <c r="D12" s="58" t="s">
        <v>3</v>
      </c>
      <c r="E12" s="45" t="s">
        <v>48</v>
      </c>
      <c r="F12" s="95">
        <v>1.7476851851851852E-3</v>
      </c>
    </row>
    <row r="13" spans="1:6" ht="22" customHeight="1" x14ac:dyDescent="0.2">
      <c r="A13" s="60">
        <v>11</v>
      </c>
      <c r="B13" s="45" t="s">
        <v>125</v>
      </c>
      <c r="C13" s="58" t="s">
        <v>2</v>
      </c>
      <c r="D13" s="58" t="s">
        <v>3</v>
      </c>
      <c r="E13" s="45" t="s">
        <v>36</v>
      </c>
      <c r="F13" s="95">
        <v>3.3217592592592595E-3</v>
      </c>
    </row>
    <row r="14" spans="1:6" x14ac:dyDescent="0.2">
      <c r="A14" s="49"/>
      <c r="B14" s="44"/>
      <c r="C14" s="51"/>
      <c r="D14" s="51"/>
      <c r="E14" s="44"/>
      <c r="F14" s="97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270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5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5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5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5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5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5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95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98</v>
      </c>
      <c r="C11" s="58" t="s">
        <v>2</v>
      </c>
      <c r="D11" s="58" t="s">
        <v>3</v>
      </c>
      <c r="E11" s="45" t="s">
        <v>48</v>
      </c>
      <c r="F11" s="95">
        <f>VLOOKUP(B11,'Song Tracker'!$A$3:$F$48,6,FALSE)</f>
        <v>1.9675925925925924E-3</v>
      </c>
    </row>
    <row r="12" spans="1:6" ht="22" customHeight="1" x14ac:dyDescent="0.2">
      <c r="A12" s="60">
        <v>10</v>
      </c>
      <c r="B12" s="45" t="s">
        <v>53</v>
      </c>
      <c r="C12" s="58" t="s">
        <v>2</v>
      </c>
      <c r="D12" s="58" t="s">
        <v>3</v>
      </c>
      <c r="E12" s="45" t="s">
        <v>31</v>
      </c>
      <c r="F12" s="95">
        <f>VLOOKUP(B12,'Song Tracker'!$A$3:$F$48,6,FALSE)</f>
        <v>5.5555555555555558E-3</v>
      </c>
    </row>
    <row r="13" spans="1:6" ht="22" customHeight="1" x14ac:dyDescent="0.2">
      <c r="A13" s="60">
        <v>11</v>
      </c>
      <c r="B13" s="45" t="s">
        <v>84</v>
      </c>
      <c r="C13" s="58" t="s">
        <v>2</v>
      </c>
      <c r="D13" s="59"/>
      <c r="E13" s="45" t="s">
        <v>36</v>
      </c>
      <c r="F13" s="95">
        <v>3.8541666666666663E-3</v>
      </c>
    </row>
    <row r="14" spans="1:6" ht="22" customHeight="1" x14ac:dyDescent="0.2">
      <c r="A14" s="60">
        <v>12</v>
      </c>
      <c r="B14" s="45" t="s">
        <v>99</v>
      </c>
      <c r="C14" s="58" t="s">
        <v>2</v>
      </c>
      <c r="D14" s="58" t="s">
        <v>3</v>
      </c>
      <c r="E14" s="45" t="s">
        <v>50</v>
      </c>
      <c r="F14" s="95">
        <v>3.2291666666666666E-3</v>
      </c>
    </row>
    <row r="15" spans="1:6" ht="22" customHeight="1" x14ac:dyDescent="0.2">
      <c r="A15" s="60">
        <v>13</v>
      </c>
      <c r="B15" s="45" t="s">
        <v>125</v>
      </c>
      <c r="C15" s="58" t="s">
        <v>2</v>
      </c>
      <c r="D15" s="58" t="s">
        <v>3</v>
      </c>
      <c r="E15" s="45" t="s">
        <v>36</v>
      </c>
      <c r="F15" s="95">
        <v>3.3217592592592595E-3</v>
      </c>
    </row>
    <row r="16" spans="1:6" ht="22" customHeight="1" x14ac:dyDescent="0.2">
      <c r="A16" s="60">
        <v>14</v>
      </c>
      <c r="B16" s="45" t="s">
        <v>112</v>
      </c>
      <c r="C16" s="58" t="s">
        <v>2</v>
      </c>
      <c r="D16" s="58" t="s">
        <v>3</v>
      </c>
      <c r="E16" s="45" t="s">
        <v>114</v>
      </c>
      <c r="F16" s="95">
        <f>VLOOKUP(B16,'Song Tracker'!$A$3:$F$48,6,FALSE)</f>
        <v>3.472222222222222E-3</v>
      </c>
    </row>
    <row r="17" spans="1:6" ht="22" customHeight="1" x14ac:dyDescent="0.2">
      <c r="A17" s="60">
        <v>15</v>
      </c>
      <c r="B17" s="45" t="s">
        <v>82</v>
      </c>
      <c r="C17" s="59"/>
      <c r="D17" s="58" t="s">
        <v>3</v>
      </c>
      <c r="E17" s="45" t="s">
        <v>39</v>
      </c>
      <c r="F17" s="95">
        <f>VLOOKUP(B17,'Song Tracker'!$A$3:$F$48,6,FALSE)</f>
        <v>2.6041666666666665E-3</v>
      </c>
    </row>
    <row r="18" spans="1:6" ht="22" customHeight="1" x14ac:dyDescent="0.2">
      <c r="A18" s="60">
        <v>16</v>
      </c>
      <c r="B18" s="45" t="s">
        <v>78</v>
      </c>
      <c r="C18" s="58" t="s">
        <v>2</v>
      </c>
      <c r="D18" s="58" t="s">
        <v>3</v>
      </c>
      <c r="E18" s="45" t="s">
        <v>50</v>
      </c>
      <c r="F18" s="95">
        <f>VLOOKUP(B18,'Song Tracker'!$A$3:$F$48,6,FALSE)</f>
        <v>2.5115740740740741E-3</v>
      </c>
    </row>
    <row r="19" spans="1:6" ht="22" customHeight="1" x14ac:dyDescent="0.2">
      <c r="A19" s="60">
        <v>17</v>
      </c>
      <c r="B19" s="45" t="s">
        <v>51</v>
      </c>
      <c r="C19" s="58" t="s">
        <v>2</v>
      </c>
      <c r="D19" s="58" t="s">
        <v>3</v>
      </c>
      <c r="E19" s="45" t="s">
        <v>48</v>
      </c>
      <c r="F19" s="95">
        <f>VLOOKUP(B19,'Song Tracker'!$A$3:$F$48,6,FALSE)</f>
        <v>3.3449074074074076E-3</v>
      </c>
    </row>
    <row r="20" spans="1:6" ht="22" customHeight="1" x14ac:dyDescent="0.2">
      <c r="A20" s="60">
        <v>18</v>
      </c>
      <c r="B20" s="45" t="s">
        <v>103</v>
      </c>
      <c r="C20" s="58" t="s">
        <v>2</v>
      </c>
      <c r="D20" s="58" t="s">
        <v>3</v>
      </c>
      <c r="E20" s="45" t="s">
        <v>31</v>
      </c>
      <c r="F20" s="95">
        <v>4.1319444444444442E-3</v>
      </c>
    </row>
    <row r="21" spans="1:6" ht="22" customHeight="1" x14ac:dyDescent="0.2">
      <c r="A21" s="60">
        <v>19</v>
      </c>
      <c r="B21" s="45" t="s">
        <v>101</v>
      </c>
      <c r="C21" s="58" t="s">
        <v>2</v>
      </c>
      <c r="D21" s="58" t="s">
        <v>3</v>
      </c>
      <c r="E21" s="45" t="s">
        <v>39</v>
      </c>
      <c r="F21" s="95">
        <v>2.9513888888888888E-3</v>
      </c>
    </row>
    <row r="22" spans="1:6" ht="22" customHeight="1" x14ac:dyDescent="0.2">
      <c r="A22" s="60">
        <v>20</v>
      </c>
      <c r="B22" s="45" t="s">
        <v>106</v>
      </c>
      <c r="C22" s="58" t="s">
        <v>2</v>
      </c>
      <c r="D22" s="58" t="s">
        <v>3</v>
      </c>
      <c r="E22" s="45" t="s">
        <v>36</v>
      </c>
      <c r="F22" s="95">
        <f>VLOOKUP(B22,'Song Tracker'!$A$3:$F$48,6,FALSE)</f>
        <v>2.4305555555555556E-3</v>
      </c>
    </row>
    <row r="23" spans="1:6" ht="22" customHeight="1" x14ac:dyDescent="0.2">
      <c r="A23" s="60">
        <v>22</v>
      </c>
      <c r="B23" s="45" t="s">
        <v>46</v>
      </c>
      <c r="C23" s="58" t="s">
        <v>2</v>
      </c>
      <c r="D23" s="58" t="s">
        <v>3</v>
      </c>
      <c r="E23" s="45" t="s">
        <v>48</v>
      </c>
      <c r="F23" s="95">
        <v>1.7476851851851852E-3</v>
      </c>
    </row>
    <row r="24" spans="1:6" ht="22" customHeight="1" x14ac:dyDescent="0.2">
      <c r="A24" s="60">
        <v>23</v>
      </c>
      <c r="B24" s="45" t="s">
        <v>94</v>
      </c>
      <c r="C24" s="58" t="s">
        <v>2</v>
      </c>
      <c r="D24" s="58" t="s">
        <v>3</v>
      </c>
      <c r="E24" s="45" t="s">
        <v>36</v>
      </c>
      <c r="F24" s="95">
        <v>2.0486111111111113E-3</v>
      </c>
    </row>
    <row r="25" spans="1:6" ht="22" customHeight="1" x14ac:dyDescent="0.2">
      <c r="A25" s="60">
        <v>24</v>
      </c>
      <c r="B25" s="45" t="s">
        <v>80</v>
      </c>
      <c r="C25" s="58" t="s">
        <v>2</v>
      </c>
      <c r="D25" s="58" t="s">
        <v>3</v>
      </c>
      <c r="E25" s="45" t="s">
        <v>39</v>
      </c>
      <c r="F25" s="95">
        <v>2.5810185185185185E-3</v>
      </c>
    </row>
    <row r="26" spans="1:6" ht="22" customHeight="1" x14ac:dyDescent="0.2">
      <c r="A26" s="60">
        <v>25</v>
      </c>
      <c r="B26" s="45" t="s">
        <v>105</v>
      </c>
      <c r="C26" s="58" t="s">
        <v>2</v>
      </c>
      <c r="D26" s="58" t="s">
        <v>3</v>
      </c>
      <c r="E26" s="45" t="s">
        <v>31</v>
      </c>
      <c r="F26" s="95">
        <v>5.9606481481481481E-3</v>
      </c>
    </row>
    <row r="27" spans="1:6" ht="22" customHeight="1" x14ac:dyDescent="0.2">
      <c r="A27" s="60">
        <v>26</v>
      </c>
      <c r="B27" s="45" t="s">
        <v>76</v>
      </c>
      <c r="C27" s="58" t="s">
        <v>2</v>
      </c>
      <c r="D27" s="58" t="s">
        <v>3</v>
      </c>
      <c r="E27" s="45" t="s">
        <v>39</v>
      </c>
      <c r="F27" s="95">
        <v>4.6874999999999998E-3</v>
      </c>
    </row>
    <row r="28" spans="1:6" ht="22" customHeight="1" x14ac:dyDescent="0.2">
      <c r="A28" s="60">
        <v>27</v>
      </c>
      <c r="B28" s="45" t="s">
        <v>120</v>
      </c>
      <c r="C28" s="58" t="s">
        <v>2</v>
      </c>
      <c r="D28" s="58" t="s">
        <v>3</v>
      </c>
      <c r="E28" s="45" t="s">
        <v>36</v>
      </c>
      <c r="F28" s="95">
        <f>VLOOKUP(B28,'Song Tracker'!$A$3:$F$48,6,FALSE)</f>
        <v>3.472222222222222E-3</v>
      </c>
    </row>
    <row r="29" spans="1:6" x14ac:dyDescent="0.2">
      <c r="A29" s="49"/>
      <c r="B29" s="44"/>
      <c r="C29" s="51"/>
      <c r="D29" s="51"/>
      <c r="E29" s="44"/>
      <c r="F29" s="97"/>
    </row>
    <row r="30" spans="1:6" ht="22" customHeight="1" thickBot="1" x14ac:dyDescent="0.25">
      <c r="A30" s="54"/>
      <c r="B30" s="55" t="s">
        <v>253</v>
      </c>
      <c r="C30" s="56"/>
      <c r="D30" s="56"/>
      <c r="E30" s="55"/>
      <c r="F30" s="57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271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5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5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5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5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5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5">
        <v>2.5810185185185185E-3</v>
      </c>
    </row>
    <row r="10" spans="1:6" ht="22" customHeight="1" x14ac:dyDescent="0.2">
      <c r="A10" s="60">
        <v>8</v>
      </c>
      <c r="B10" s="45" t="s">
        <v>34</v>
      </c>
      <c r="C10" s="58" t="s">
        <v>2</v>
      </c>
      <c r="D10" s="58" t="s">
        <v>3</v>
      </c>
      <c r="E10" s="45" t="s">
        <v>36</v>
      </c>
      <c r="F10" s="95">
        <f>VLOOKUP(B10,'Song Tracker'!$A$3:$F$48,6,FALSE)</f>
        <v>3.9583333333333337E-3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5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95">
        <v>3.8541666666666663E-3</v>
      </c>
    </row>
    <row r="13" spans="1:6" ht="22" customHeight="1" x14ac:dyDescent="0.2">
      <c r="A13" s="60">
        <v>11</v>
      </c>
      <c r="B13" s="45" t="s">
        <v>99</v>
      </c>
      <c r="C13" s="58" t="s">
        <v>2</v>
      </c>
      <c r="D13" s="58" t="s">
        <v>3</v>
      </c>
      <c r="E13" s="45" t="s">
        <v>50</v>
      </c>
      <c r="F13" s="95">
        <v>3.2291666666666666E-3</v>
      </c>
    </row>
    <row r="14" spans="1:6" ht="22" customHeight="1" x14ac:dyDescent="0.2">
      <c r="A14" s="60">
        <v>1</v>
      </c>
      <c r="B14" s="45" t="s">
        <v>112</v>
      </c>
      <c r="C14" s="58" t="s">
        <v>2</v>
      </c>
      <c r="D14" s="58" t="s">
        <v>3</v>
      </c>
      <c r="E14" s="45" t="s">
        <v>114</v>
      </c>
      <c r="F14" s="95">
        <f>VLOOKUP(B14,'Song Tracker'!$A$3:$F$48,6,FALSE)</f>
        <v>3.472222222222222E-3</v>
      </c>
    </row>
    <row r="15" spans="1:6" ht="22" customHeight="1" x14ac:dyDescent="0.2">
      <c r="A15" s="60">
        <v>2</v>
      </c>
      <c r="B15" s="45" t="s">
        <v>82</v>
      </c>
      <c r="C15" s="59"/>
      <c r="D15" s="58" t="s">
        <v>3</v>
      </c>
      <c r="E15" s="45" t="s">
        <v>39</v>
      </c>
      <c r="F15" s="95">
        <f>VLOOKUP(B15,'Song Tracker'!$A$3:$F$48,6,FALSE)</f>
        <v>2.6041666666666665E-3</v>
      </c>
    </row>
    <row r="16" spans="1:6" ht="22" customHeight="1" x14ac:dyDescent="0.2">
      <c r="A16" s="60">
        <v>3</v>
      </c>
      <c r="B16" s="45" t="s">
        <v>103</v>
      </c>
      <c r="C16" s="58" t="s">
        <v>2</v>
      </c>
      <c r="D16" s="58" t="s">
        <v>3</v>
      </c>
      <c r="E16" s="45" t="s">
        <v>31</v>
      </c>
      <c r="F16" s="95">
        <v>4.1319444444444442E-3</v>
      </c>
    </row>
    <row r="17" spans="1:6" ht="22" customHeight="1" x14ac:dyDescent="0.2">
      <c r="A17" s="60">
        <v>4</v>
      </c>
      <c r="B17" s="45" t="s">
        <v>106</v>
      </c>
      <c r="C17" s="58" t="s">
        <v>2</v>
      </c>
      <c r="D17" s="58" t="s">
        <v>3</v>
      </c>
      <c r="E17" s="45" t="s">
        <v>36</v>
      </c>
      <c r="F17" s="95">
        <f>VLOOKUP(B17,'Song Tracker'!$A$3:$F$48,6,FALSE)</f>
        <v>2.4305555555555556E-3</v>
      </c>
    </row>
    <row r="18" spans="1:6" ht="22" customHeight="1" x14ac:dyDescent="0.2">
      <c r="A18" s="60">
        <v>5</v>
      </c>
      <c r="B18" s="45" t="s">
        <v>46</v>
      </c>
      <c r="C18" s="58" t="s">
        <v>2</v>
      </c>
      <c r="D18" s="58" t="s">
        <v>3</v>
      </c>
      <c r="E18" s="45" t="s">
        <v>48</v>
      </c>
      <c r="F18" s="95">
        <v>1.7476851851851852E-3</v>
      </c>
    </row>
    <row r="19" spans="1:6" ht="22" customHeight="1" x14ac:dyDescent="0.2">
      <c r="A19" s="60">
        <v>6</v>
      </c>
      <c r="B19" s="45" t="s">
        <v>94</v>
      </c>
      <c r="C19" s="58" t="s">
        <v>2</v>
      </c>
      <c r="D19" s="58" t="s">
        <v>3</v>
      </c>
      <c r="E19" s="45" t="s">
        <v>36</v>
      </c>
      <c r="F19" s="95">
        <v>2.0486111111111113E-3</v>
      </c>
    </row>
    <row r="20" spans="1:6" ht="22" customHeight="1" x14ac:dyDescent="0.2">
      <c r="A20" s="60">
        <v>7</v>
      </c>
      <c r="B20" s="45" t="s">
        <v>80</v>
      </c>
      <c r="C20" s="58" t="s">
        <v>2</v>
      </c>
      <c r="D20" s="58" t="s">
        <v>3</v>
      </c>
      <c r="E20" s="45" t="s">
        <v>39</v>
      </c>
      <c r="F20" s="95">
        <v>2.5810185185185185E-3</v>
      </c>
    </row>
    <row r="21" spans="1:6" ht="22" customHeight="1" x14ac:dyDescent="0.2">
      <c r="A21" s="60">
        <v>8</v>
      </c>
      <c r="B21" s="45" t="s">
        <v>125</v>
      </c>
      <c r="C21" s="58" t="s">
        <v>2</v>
      </c>
      <c r="D21" s="58" t="s">
        <v>3</v>
      </c>
      <c r="E21" s="45" t="s">
        <v>36</v>
      </c>
      <c r="F21" s="95">
        <v>3.3217592592592595E-3</v>
      </c>
    </row>
    <row r="22" spans="1:6" ht="22" customHeight="1" x14ac:dyDescent="0.2">
      <c r="A22" s="60">
        <v>9</v>
      </c>
      <c r="B22" s="45" t="s">
        <v>105</v>
      </c>
      <c r="C22" s="58" t="s">
        <v>2</v>
      </c>
      <c r="D22" s="58" t="s">
        <v>3</v>
      </c>
      <c r="E22" s="45" t="s">
        <v>31</v>
      </c>
      <c r="F22" s="95">
        <v>5.9606481481481481E-3</v>
      </c>
    </row>
    <row r="23" spans="1:6" ht="22" customHeight="1" x14ac:dyDescent="0.2">
      <c r="A23" s="60">
        <v>10</v>
      </c>
      <c r="B23" s="45" t="s">
        <v>76</v>
      </c>
      <c r="C23" s="58" t="s">
        <v>2</v>
      </c>
      <c r="D23" s="58" t="s">
        <v>3</v>
      </c>
      <c r="E23" s="45" t="s">
        <v>39</v>
      </c>
      <c r="F23" s="95">
        <v>4.6874999999999998E-3</v>
      </c>
    </row>
    <row r="24" spans="1:6" x14ac:dyDescent="0.2">
      <c r="A24" s="49"/>
      <c r="B24" s="44"/>
      <c r="C24" s="51"/>
      <c r="D24" s="51"/>
      <c r="E24" s="44"/>
      <c r="F24" s="97"/>
    </row>
    <row r="25" spans="1:6" ht="22" customHeight="1" thickBot="1" x14ac:dyDescent="0.25">
      <c r="A25" s="54"/>
      <c r="B25" s="55" t="s">
        <v>253</v>
      </c>
      <c r="C25" s="56"/>
      <c r="D25" s="56"/>
      <c r="E25" s="55"/>
      <c r="F25" s="57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272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80</v>
      </c>
      <c r="C4" s="58" t="s">
        <v>2</v>
      </c>
      <c r="D4" s="58" t="s">
        <v>3</v>
      </c>
      <c r="E4" s="45" t="s">
        <v>39</v>
      </c>
      <c r="F4" s="95">
        <v>2.5810185185185185E-3</v>
      </c>
    </row>
    <row r="5" spans="1:6" ht="22" customHeight="1" x14ac:dyDescent="0.2">
      <c r="A5" s="60">
        <v>3</v>
      </c>
      <c r="B5" s="45" t="s">
        <v>87</v>
      </c>
      <c r="C5" s="58" t="s">
        <v>2</v>
      </c>
      <c r="D5" s="58" t="s">
        <v>3</v>
      </c>
      <c r="E5" s="45" t="s">
        <v>48</v>
      </c>
      <c r="F5" s="95">
        <v>1.9791666666666668E-3</v>
      </c>
    </row>
    <row r="6" spans="1:6" ht="22" customHeight="1" x14ac:dyDescent="0.2">
      <c r="A6" s="60">
        <v>4</v>
      </c>
      <c r="B6" s="45" t="s">
        <v>65</v>
      </c>
      <c r="C6" s="58" t="s">
        <v>2</v>
      </c>
      <c r="D6" s="58" t="s">
        <v>3</v>
      </c>
      <c r="E6" s="45" t="s">
        <v>31</v>
      </c>
      <c r="F6" s="95">
        <v>2.7893518518518519E-3</v>
      </c>
    </row>
    <row r="7" spans="1:6" ht="22" customHeight="1" x14ac:dyDescent="0.2">
      <c r="A7" s="60">
        <v>5</v>
      </c>
      <c r="B7" s="45" t="s">
        <v>67</v>
      </c>
      <c r="C7" s="58" t="s">
        <v>2</v>
      </c>
      <c r="D7" s="58" t="s">
        <v>3</v>
      </c>
      <c r="E7" s="45" t="s">
        <v>36</v>
      </c>
      <c r="F7" s="95">
        <v>2.488425925925926E-3</v>
      </c>
    </row>
    <row r="8" spans="1:6" ht="22" customHeight="1" x14ac:dyDescent="0.2">
      <c r="A8" s="60">
        <v>6</v>
      </c>
      <c r="B8" s="45" t="s">
        <v>96</v>
      </c>
      <c r="C8" s="58" t="s">
        <v>2</v>
      </c>
      <c r="D8" s="58" t="s">
        <v>3</v>
      </c>
      <c r="E8" s="45" t="s">
        <v>39</v>
      </c>
      <c r="F8" s="95">
        <v>3.5995370370370369E-3</v>
      </c>
    </row>
    <row r="9" spans="1:6" ht="22" customHeight="1" x14ac:dyDescent="0.2">
      <c r="A9" s="60">
        <v>7</v>
      </c>
      <c r="B9" s="45" t="s">
        <v>94</v>
      </c>
      <c r="C9" s="58" t="s">
        <v>2</v>
      </c>
      <c r="D9" s="58" t="s">
        <v>3</v>
      </c>
      <c r="E9" s="45" t="s">
        <v>36</v>
      </c>
      <c r="F9" s="95">
        <v>2.0486111111111113E-3</v>
      </c>
    </row>
    <row r="10" spans="1:6" ht="22" customHeight="1" x14ac:dyDescent="0.2">
      <c r="A10" s="60">
        <v>8</v>
      </c>
      <c r="B10" s="45" t="s">
        <v>99</v>
      </c>
      <c r="C10" s="58" t="s">
        <v>2</v>
      </c>
      <c r="D10" s="58" t="s">
        <v>3</v>
      </c>
      <c r="E10" s="45" t="s">
        <v>50</v>
      </c>
      <c r="F10" s="95">
        <v>3.2291666666666666E-3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5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125</v>
      </c>
      <c r="C12" s="58" t="s">
        <v>2</v>
      </c>
      <c r="D12" s="58" t="s">
        <v>3</v>
      </c>
      <c r="E12" s="45" t="s">
        <v>36</v>
      </c>
      <c r="F12" s="95">
        <v>3.3217592592592595E-3</v>
      </c>
    </row>
    <row r="13" spans="1:6" ht="22" customHeight="1" x14ac:dyDescent="0.2">
      <c r="A13" s="60">
        <v>11</v>
      </c>
      <c r="B13" s="45" t="s">
        <v>76</v>
      </c>
      <c r="C13" s="58" t="s">
        <v>2</v>
      </c>
      <c r="D13" s="58" t="s">
        <v>3</v>
      </c>
      <c r="E13" s="45" t="s">
        <v>39</v>
      </c>
      <c r="F13" s="95">
        <v>4.6874999999999998E-3</v>
      </c>
    </row>
    <row r="14" spans="1:6" x14ac:dyDescent="0.2">
      <c r="A14" s="49"/>
      <c r="B14" s="44"/>
      <c r="C14" s="51"/>
      <c r="D14" s="51"/>
      <c r="E14" s="44"/>
      <c r="F14" s="97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273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5">
        <v>2.0949074074074073E-3</v>
      </c>
    </row>
    <row r="5" spans="1:6" ht="22" customHeight="1" x14ac:dyDescent="0.2">
      <c r="A5" s="60">
        <v>3</v>
      </c>
      <c r="B5" s="45" t="s">
        <v>96</v>
      </c>
      <c r="C5" s="58" t="s">
        <v>2</v>
      </c>
      <c r="D5" s="58" t="s">
        <v>3</v>
      </c>
      <c r="E5" s="45" t="s">
        <v>39</v>
      </c>
      <c r="F5" s="95">
        <v>3.5995370370370369E-3</v>
      </c>
    </row>
    <row r="6" spans="1:6" ht="22" customHeight="1" x14ac:dyDescent="0.2">
      <c r="A6" s="60">
        <v>4</v>
      </c>
      <c r="B6" s="45" t="s">
        <v>67</v>
      </c>
      <c r="C6" s="58" t="s">
        <v>2</v>
      </c>
      <c r="D6" s="58" t="s">
        <v>3</v>
      </c>
      <c r="E6" s="45" t="s">
        <v>36</v>
      </c>
      <c r="F6" s="95">
        <v>2.488425925925926E-3</v>
      </c>
    </row>
    <row r="7" spans="1:6" ht="22" customHeight="1" x14ac:dyDescent="0.2">
      <c r="A7" s="60">
        <v>5</v>
      </c>
      <c r="B7" s="45" t="s">
        <v>87</v>
      </c>
      <c r="C7" s="58" t="s">
        <v>2</v>
      </c>
      <c r="D7" s="58" t="s">
        <v>3</v>
      </c>
      <c r="E7" s="45" t="s">
        <v>48</v>
      </c>
      <c r="F7" s="95">
        <v>1.9791666666666668E-3</v>
      </c>
    </row>
    <row r="8" spans="1:6" ht="22" customHeight="1" x14ac:dyDescent="0.2">
      <c r="A8" s="60">
        <v>6</v>
      </c>
      <c r="B8" s="45" t="s">
        <v>65</v>
      </c>
      <c r="C8" s="58" t="s">
        <v>2</v>
      </c>
      <c r="D8" s="58" t="s">
        <v>3</v>
      </c>
      <c r="E8" s="45" t="s">
        <v>31</v>
      </c>
      <c r="F8" s="95">
        <v>2.7893518518518519E-3</v>
      </c>
    </row>
    <row r="9" spans="1:6" ht="22" customHeight="1" x14ac:dyDescent="0.2">
      <c r="A9" s="60">
        <v>7</v>
      </c>
      <c r="B9" s="45" t="s">
        <v>256</v>
      </c>
      <c r="C9" s="58" t="s">
        <v>2</v>
      </c>
      <c r="D9" s="58" t="s">
        <v>3</v>
      </c>
      <c r="E9" s="45" t="s">
        <v>39</v>
      </c>
      <c r="F9" s="95">
        <v>2.5810185185185185E-3</v>
      </c>
    </row>
    <row r="10" spans="1:6" ht="22" customHeight="1" x14ac:dyDescent="0.2">
      <c r="A10" s="60">
        <v>8</v>
      </c>
      <c r="B10" s="45" t="s">
        <v>94</v>
      </c>
      <c r="C10" s="58" t="s">
        <v>2</v>
      </c>
      <c r="D10" s="58" t="s">
        <v>3</v>
      </c>
      <c r="E10" s="45" t="s">
        <v>36</v>
      </c>
      <c r="F10" s="95">
        <v>2.0486111111111113E-3</v>
      </c>
    </row>
    <row r="11" spans="1:6" ht="22" customHeight="1" x14ac:dyDescent="0.2">
      <c r="A11" s="60">
        <v>9</v>
      </c>
      <c r="B11" s="45" t="s">
        <v>53</v>
      </c>
      <c r="C11" s="58" t="s">
        <v>2</v>
      </c>
      <c r="D11" s="58" t="s">
        <v>3</v>
      </c>
      <c r="E11" s="45" t="s">
        <v>31</v>
      </c>
      <c r="F11" s="95">
        <f>VLOOKUP(B11,'Song Tracker'!$A$3:$F$48,6,FALSE)</f>
        <v>5.5555555555555558E-3</v>
      </c>
    </row>
    <row r="12" spans="1:6" ht="22" customHeight="1" x14ac:dyDescent="0.2">
      <c r="A12" s="60">
        <v>10</v>
      </c>
      <c r="B12" s="45" t="s">
        <v>84</v>
      </c>
      <c r="C12" s="58" t="s">
        <v>2</v>
      </c>
      <c r="D12" s="59"/>
      <c r="E12" s="45" t="s">
        <v>36</v>
      </c>
      <c r="F12" s="95">
        <v>3.8541666666666663E-3</v>
      </c>
    </row>
    <row r="13" spans="1:6" ht="22" customHeight="1" x14ac:dyDescent="0.2">
      <c r="A13" s="60">
        <v>11</v>
      </c>
      <c r="B13" s="45" t="s">
        <v>46</v>
      </c>
      <c r="C13" s="58" t="s">
        <v>2</v>
      </c>
      <c r="D13" s="58" t="s">
        <v>3</v>
      </c>
      <c r="E13" s="45" t="s">
        <v>48</v>
      </c>
      <c r="F13" s="95">
        <v>1.7476851851851852E-3</v>
      </c>
    </row>
    <row r="14" spans="1:6" ht="22" customHeight="1" x14ac:dyDescent="0.2">
      <c r="A14" s="60">
        <v>12</v>
      </c>
      <c r="B14" s="45" t="s">
        <v>103</v>
      </c>
      <c r="C14" s="58" t="s">
        <v>2</v>
      </c>
      <c r="D14" s="58" t="s">
        <v>3</v>
      </c>
      <c r="E14" s="45" t="s">
        <v>31</v>
      </c>
      <c r="F14" s="95">
        <v>4.1319444444444442E-3</v>
      </c>
    </row>
    <row r="15" spans="1:6" ht="22" customHeight="1" x14ac:dyDescent="0.2">
      <c r="A15" s="60">
        <v>13</v>
      </c>
      <c r="B15" s="45" t="s">
        <v>80</v>
      </c>
      <c r="C15" s="58" t="s">
        <v>2</v>
      </c>
      <c r="D15" s="58" t="s">
        <v>3</v>
      </c>
      <c r="E15" s="45" t="s">
        <v>39</v>
      </c>
      <c r="F15" s="95">
        <v>2.5810185185185185E-3</v>
      </c>
    </row>
    <row r="16" spans="1:6" ht="22" customHeight="1" x14ac:dyDescent="0.2">
      <c r="A16" s="60">
        <v>14</v>
      </c>
      <c r="B16" s="45" t="s">
        <v>125</v>
      </c>
      <c r="C16" s="58" t="s">
        <v>2</v>
      </c>
      <c r="D16" s="58" t="s">
        <v>3</v>
      </c>
      <c r="E16" s="45" t="s">
        <v>36</v>
      </c>
      <c r="F16" s="95">
        <v>3.3217592592592595E-3</v>
      </c>
    </row>
    <row r="17" spans="1:6" ht="22" customHeight="1" x14ac:dyDescent="0.2">
      <c r="A17" s="60">
        <v>15</v>
      </c>
      <c r="B17" s="45" t="s">
        <v>99</v>
      </c>
      <c r="C17" s="58" t="s">
        <v>2</v>
      </c>
      <c r="D17" s="58" t="s">
        <v>3</v>
      </c>
      <c r="E17" s="45" t="s">
        <v>50</v>
      </c>
      <c r="F17" s="95">
        <v>3.2291666666666666E-3</v>
      </c>
    </row>
    <row r="18" spans="1:6" ht="22" customHeight="1" x14ac:dyDescent="0.2">
      <c r="A18" s="60">
        <v>16</v>
      </c>
      <c r="B18" s="45" t="s">
        <v>105</v>
      </c>
      <c r="C18" s="58" t="s">
        <v>2</v>
      </c>
      <c r="D18" s="58" t="s">
        <v>3</v>
      </c>
      <c r="E18" s="45" t="s">
        <v>31</v>
      </c>
      <c r="F18" s="95">
        <v>5.9606481481481481E-3</v>
      </c>
    </row>
    <row r="19" spans="1:6" x14ac:dyDescent="0.2">
      <c r="A19" s="49"/>
      <c r="B19" s="44"/>
      <c r="C19" s="51"/>
      <c r="D19" s="51"/>
      <c r="E19" s="44"/>
      <c r="F19" s="97"/>
    </row>
    <row r="20" spans="1:6" ht="22" customHeight="1" thickBot="1" x14ac:dyDescent="0.25">
      <c r="A20" s="54"/>
      <c r="B20" s="55" t="s">
        <v>253</v>
      </c>
      <c r="C20" s="56"/>
      <c r="D20" s="56"/>
      <c r="E20" s="55"/>
      <c r="F20" s="57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274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129</v>
      </c>
      <c r="C4" s="58" t="s">
        <v>2</v>
      </c>
      <c r="D4" s="58" t="s">
        <v>3</v>
      </c>
      <c r="E4" s="45" t="s">
        <v>31</v>
      </c>
      <c r="F4" s="95">
        <v>2.0949074074074073E-3</v>
      </c>
    </row>
    <row r="5" spans="1:6" ht="22" customHeight="1" x14ac:dyDescent="0.2">
      <c r="A5" s="60">
        <v>3</v>
      </c>
      <c r="B5" s="45" t="s">
        <v>80</v>
      </c>
      <c r="C5" s="58" t="s">
        <v>2</v>
      </c>
      <c r="D5" s="58" t="s">
        <v>3</v>
      </c>
      <c r="E5" s="45" t="s">
        <v>39</v>
      </c>
      <c r="F5" s="95">
        <v>2.5810185185185185E-3</v>
      </c>
    </row>
    <row r="6" spans="1:6" ht="22" customHeight="1" x14ac:dyDescent="0.2">
      <c r="A6" s="60">
        <v>4</v>
      </c>
      <c r="B6" s="45" t="s">
        <v>125</v>
      </c>
      <c r="C6" s="58" t="s">
        <v>2</v>
      </c>
      <c r="D6" s="58" t="s">
        <v>3</v>
      </c>
      <c r="E6" s="45" t="s">
        <v>36</v>
      </c>
      <c r="F6" s="95">
        <v>3.3217592592592595E-3</v>
      </c>
    </row>
    <row r="7" spans="1:6" ht="22" customHeight="1" x14ac:dyDescent="0.2">
      <c r="A7" s="60">
        <v>5</v>
      </c>
      <c r="B7" s="45" t="s">
        <v>53</v>
      </c>
      <c r="C7" s="58" t="s">
        <v>2</v>
      </c>
      <c r="D7" s="58" t="s">
        <v>3</v>
      </c>
      <c r="E7" s="45" t="s">
        <v>31</v>
      </c>
      <c r="F7" s="95">
        <f>VLOOKUP(B7,'Song Tracker'!$A$3:$F$48,6,FALSE)</f>
        <v>5.5555555555555558E-3</v>
      </c>
    </row>
    <row r="8" spans="1:6" ht="22" customHeight="1" x14ac:dyDescent="0.2">
      <c r="A8" s="60">
        <v>6</v>
      </c>
      <c r="B8" s="45" t="s">
        <v>106</v>
      </c>
      <c r="C8" s="58" t="s">
        <v>2</v>
      </c>
      <c r="D8" s="58" t="s">
        <v>3</v>
      </c>
      <c r="E8" s="45" t="s">
        <v>36</v>
      </c>
      <c r="F8" s="95">
        <f>VLOOKUP(B8,'Song Tracker'!$A$3:$F$48,6,FALSE)</f>
        <v>2.4305555555555556E-3</v>
      </c>
    </row>
    <row r="9" spans="1:6" ht="22" customHeight="1" x14ac:dyDescent="0.2">
      <c r="A9" s="60">
        <v>7</v>
      </c>
      <c r="B9" s="45" t="s">
        <v>103</v>
      </c>
      <c r="C9" s="58" t="s">
        <v>2</v>
      </c>
      <c r="D9" s="58" t="s">
        <v>3</v>
      </c>
      <c r="E9" s="45" t="s">
        <v>31</v>
      </c>
      <c r="F9" s="95">
        <v>4.1319444444444442E-3</v>
      </c>
    </row>
    <row r="10" spans="1:6" ht="22" customHeight="1" x14ac:dyDescent="0.2">
      <c r="A10" s="60">
        <v>8</v>
      </c>
      <c r="B10" s="45" t="s">
        <v>76</v>
      </c>
      <c r="C10" s="58" t="s">
        <v>2</v>
      </c>
      <c r="D10" s="58" t="s">
        <v>3</v>
      </c>
      <c r="E10" s="45" t="s">
        <v>39</v>
      </c>
      <c r="F10" s="95">
        <v>4.6874999999999998E-3</v>
      </c>
    </row>
    <row r="11" spans="1:6" ht="22" customHeight="1" x14ac:dyDescent="0.2">
      <c r="A11" s="60">
        <v>9</v>
      </c>
      <c r="B11" s="45" t="s">
        <v>65</v>
      </c>
      <c r="C11" s="58" t="s">
        <v>2</v>
      </c>
      <c r="D11" s="58" t="s">
        <v>3</v>
      </c>
      <c r="E11" s="45" t="s">
        <v>31</v>
      </c>
      <c r="F11" s="95">
        <v>2.7893518518518519E-3</v>
      </c>
    </row>
    <row r="12" spans="1:6" ht="22" customHeight="1" x14ac:dyDescent="0.2">
      <c r="A12" s="60">
        <v>10</v>
      </c>
      <c r="B12" s="45" t="s">
        <v>94</v>
      </c>
      <c r="C12" s="58" t="s">
        <v>2</v>
      </c>
      <c r="D12" s="58" t="s">
        <v>3</v>
      </c>
      <c r="E12" s="45" t="s">
        <v>36</v>
      </c>
      <c r="F12" s="95">
        <v>2.0486111111111113E-3</v>
      </c>
    </row>
    <row r="13" spans="1:6" ht="22" customHeight="1" x14ac:dyDescent="0.2">
      <c r="A13" s="60">
        <v>11</v>
      </c>
      <c r="B13" s="45" t="s">
        <v>105</v>
      </c>
      <c r="C13" s="58" t="s">
        <v>2</v>
      </c>
      <c r="D13" s="58" t="s">
        <v>3</v>
      </c>
      <c r="E13" s="45" t="s">
        <v>31</v>
      </c>
      <c r="F13" s="95">
        <v>5.9606481481481481E-3</v>
      </c>
    </row>
    <row r="14" spans="1:6" ht="22" customHeight="1" x14ac:dyDescent="0.2">
      <c r="A14" s="49"/>
      <c r="B14" s="44"/>
      <c r="C14" s="51"/>
      <c r="D14" s="51"/>
      <c r="E14" s="44"/>
      <c r="F14" s="97"/>
    </row>
    <row r="15" spans="1:6" ht="22" customHeight="1" thickBot="1" x14ac:dyDescent="0.25">
      <c r="A15" s="54"/>
      <c r="B15" s="55" t="s">
        <v>253</v>
      </c>
      <c r="C15" s="56"/>
      <c r="D15" s="56"/>
      <c r="E15" s="55"/>
      <c r="F15" s="57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20" customWidth="1"/>
    <col min="2" max="2" width="30" customWidth="1"/>
    <col min="3" max="4" width="6.6640625" style="20" customWidth="1"/>
    <col min="5" max="5" width="16.6640625" customWidth="1"/>
    <col min="6" max="6" width="11.6640625" style="20" customWidth="1"/>
  </cols>
  <sheetData>
    <row r="1" spans="1:6" ht="28" customHeight="1" x14ac:dyDescent="0.25">
      <c r="A1" s="47" t="s">
        <v>275</v>
      </c>
      <c r="B1" s="41"/>
      <c r="C1" s="50"/>
      <c r="D1" s="50"/>
      <c r="E1" s="41"/>
      <c r="F1" s="52"/>
    </row>
    <row r="2" spans="1:6" ht="22" customHeight="1" x14ac:dyDescent="0.2">
      <c r="A2" s="48" t="s">
        <v>251</v>
      </c>
      <c r="B2" s="42" t="s">
        <v>1</v>
      </c>
      <c r="C2" s="43" t="s">
        <v>2</v>
      </c>
      <c r="D2" s="43" t="s">
        <v>3</v>
      </c>
      <c r="E2" s="42" t="s">
        <v>252</v>
      </c>
      <c r="F2" s="46" t="s">
        <v>6</v>
      </c>
    </row>
    <row r="3" spans="1:6" ht="22" customHeight="1" x14ac:dyDescent="0.2">
      <c r="A3" s="60">
        <v>1</v>
      </c>
      <c r="B3" s="45" t="s">
        <v>49</v>
      </c>
      <c r="C3" s="58" t="s">
        <v>2</v>
      </c>
      <c r="D3" s="58" t="s">
        <v>3</v>
      </c>
      <c r="E3" s="45" t="s">
        <v>50</v>
      </c>
      <c r="F3" s="95">
        <v>2.1874999999999998E-3</v>
      </c>
    </row>
    <row r="4" spans="1:6" ht="22" customHeight="1" x14ac:dyDescent="0.2">
      <c r="A4" s="60">
        <v>2</v>
      </c>
      <c r="B4" s="45" t="s">
        <v>67</v>
      </c>
      <c r="C4" s="58" t="s">
        <v>2</v>
      </c>
      <c r="D4" s="58" t="s">
        <v>3</v>
      </c>
      <c r="E4" s="45" t="s">
        <v>36</v>
      </c>
      <c r="F4" s="95">
        <v>2.488425925925926E-3</v>
      </c>
    </row>
    <row r="5" spans="1:6" ht="22" customHeight="1" x14ac:dyDescent="0.2">
      <c r="A5" s="60">
        <v>3</v>
      </c>
      <c r="B5" s="45" t="s">
        <v>98</v>
      </c>
      <c r="C5" s="58" t="s">
        <v>2</v>
      </c>
      <c r="D5" s="58" t="s">
        <v>3</v>
      </c>
      <c r="E5" s="45" t="s">
        <v>48</v>
      </c>
      <c r="F5" s="95">
        <f>VLOOKUP(B5,'Song Tracker'!$A$3:$F$48,6,FALSE)</f>
        <v>1.9675925925925924E-3</v>
      </c>
    </row>
    <row r="6" spans="1:6" ht="22" customHeight="1" x14ac:dyDescent="0.2">
      <c r="A6" s="60">
        <v>4</v>
      </c>
      <c r="B6" s="45" t="s">
        <v>53</v>
      </c>
      <c r="C6" s="58" t="s">
        <v>2</v>
      </c>
      <c r="D6" s="58" t="s">
        <v>3</v>
      </c>
      <c r="E6" s="45" t="s">
        <v>31</v>
      </c>
      <c r="F6" s="95">
        <f>VLOOKUP(B6,'Song Tracker'!$A$3:$F$48,6,FALSE)</f>
        <v>5.5555555555555558E-3</v>
      </c>
    </row>
    <row r="7" spans="1:6" ht="22" customHeight="1" x14ac:dyDescent="0.2">
      <c r="A7" s="60">
        <v>5</v>
      </c>
      <c r="B7" s="45" t="s">
        <v>46</v>
      </c>
      <c r="C7" s="58" t="s">
        <v>2</v>
      </c>
      <c r="D7" s="58" t="s">
        <v>3</v>
      </c>
      <c r="E7" s="45" t="s">
        <v>48</v>
      </c>
      <c r="F7" s="95">
        <v>1.7476851851851852E-3</v>
      </c>
    </row>
    <row r="8" spans="1:6" ht="22" customHeight="1" x14ac:dyDescent="0.2">
      <c r="A8" s="60">
        <v>6</v>
      </c>
      <c r="B8" s="45" t="s">
        <v>125</v>
      </c>
      <c r="C8" s="58" t="s">
        <v>2</v>
      </c>
      <c r="D8" s="58" t="s">
        <v>3</v>
      </c>
      <c r="E8" s="45" t="s">
        <v>36</v>
      </c>
      <c r="F8" s="95">
        <v>3.3217592592592595E-3</v>
      </c>
    </row>
    <row r="9" spans="1:6" ht="22" customHeight="1" x14ac:dyDescent="0.2">
      <c r="A9" s="60">
        <v>7</v>
      </c>
      <c r="B9" s="45" t="s">
        <v>63</v>
      </c>
      <c r="C9" s="59"/>
      <c r="D9" s="58" t="s">
        <v>3</v>
      </c>
      <c r="E9" s="45" t="s">
        <v>31</v>
      </c>
      <c r="F9" s="95">
        <f>VLOOKUP(B9,'Song Tracker'!$A$3:$F$48,6,FALSE)</f>
        <v>1.7708333333333332E-3</v>
      </c>
    </row>
    <row r="10" spans="1:6" ht="22" customHeight="1" x14ac:dyDescent="0.2">
      <c r="A10" s="60">
        <v>8</v>
      </c>
      <c r="B10" s="45" t="s">
        <v>80</v>
      </c>
      <c r="C10" s="58" t="s">
        <v>2</v>
      </c>
      <c r="D10" s="58" t="s">
        <v>3</v>
      </c>
      <c r="E10" s="45" t="s">
        <v>39</v>
      </c>
      <c r="F10" s="95">
        <v>2.5810185185185185E-3</v>
      </c>
    </row>
    <row r="11" spans="1:6" ht="22" customHeight="1" x14ac:dyDescent="0.2">
      <c r="A11" s="60">
        <v>9</v>
      </c>
      <c r="B11" s="45" t="s">
        <v>129</v>
      </c>
      <c r="C11" s="58" t="s">
        <v>2</v>
      </c>
      <c r="D11" s="58" t="s">
        <v>3</v>
      </c>
      <c r="E11" s="45" t="s">
        <v>31</v>
      </c>
      <c r="F11" s="95">
        <v>2.0949074074074073E-3</v>
      </c>
    </row>
    <row r="12" spans="1:6" ht="22" customHeight="1" x14ac:dyDescent="0.2">
      <c r="A12" s="60">
        <v>10</v>
      </c>
      <c r="B12" s="45" t="s">
        <v>76</v>
      </c>
      <c r="C12" s="58" t="s">
        <v>2</v>
      </c>
      <c r="D12" s="58" t="s">
        <v>3</v>
      </c>
      <c r="E12" s="45" t="s">
        <v>39</v>
      </c>
      <c r="F12" s="95">
        <v>4.6874999999999998E-3</v>
      </c>
    </row>
    <row r="13" spans="1:6" x14ac:dyDescent="0.2">
      <c r="A13" s="49"/>
      <c r="B13" s="44"/>
      <c r="C13" s="51"/>
      <c r="D13" s="51"/>
      <c r="E13" s="44"/>
      <c r="F13" s="97"/>
    </row>
    <row r="14" spans="1:6" ht="22" customHeight="1" thickBot="1" x14ac:dyDescent="0.25">
      <c r="A14" s="54"/>
      <c r="B14" s="55" t="s">
        <v>253</v>
      </c>
      <c r="C14" s="56"/>
      <c r="D14" s="56"/>
      <c r="E14" s="55"/>
      <c r="F14" s="57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2026-05-14T13:20:50Z</dcterms:modified>
  <cp:category/>
  <cp:contentStatus/>
</cp:coreProperties>
</file>